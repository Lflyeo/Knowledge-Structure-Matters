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research\Knowledge Structure Matters Predicting Item Cognitive Levels from LLM-Derived Concept Networks with Explainable Machine Learning\Data\cognitive difficulty\"/>
    </mc:Choice>
  </mc:AlternateContent>
  <xr:revisionPtr revIDLastSave="0" documentId="13_ncr:1_{087974B2-8352-4498-8757-EF10C316B62C}" xr6:coauthVersionLast="47" xr6:coauthVersionMax="47" xr10:uidLastSave="{00000000-0000-0000-0000-000000000000}"/>
  <bookViews>
    <workbookView xWindow="38280" yWindow="-120" windowWidth="29040" windowHeight="15720" activeTab="2" xr2:uid="{00000000-000D-0000-FFFF-FFFF00000000}"/>
  </bookViews>
  <sheets>
    <sheet name="Sheet1" sheetId="1" r:id="rId1"/>
    <sheet name="总分" sheetId="2" r:id="rId2"/>
    <sheet name="平均分" sheetId="3" r:id="rId3"/>
  </sheets>
  <calcPr calcId="191029"/>
</workbook>
</file>

<file path=xl/calcChain.xml><?xml version="1.0" encoding="utf-8"?>
<calcChain xmlns="http://schemas.openxmlformats.org/spreadsheetml/2006/main">
  <c r="F523" i="1" l="1"/>
  <c r="G523" i="1"/>
  <c r="H523" i="1"/>
  <c r="I523" i="1"/>
  <c r="J523" i="1"/>
  <c r="K523" i="1"/>
  <c r="L523" i="1"/>
  <c r="M523" i="1"/>
  <c r="N523" i="1"/>
  <c r="O523" i="1"/>
  <c r="P523" i="1"/>
  <c r="Q523" i="1"/>
  <c r="R523" i="1"/>
  <c r="S523" i="1"/>
  <c r="T523" i="1"/>
  <c r="U523" i="1"/>
  <c r="E5" i="2"/>
  <c r="M522" i="1"/>
  <c r="R522" i="1"/>
  <c r="S522" i="1"/>
  <c r="T522" i="1"/>
  <c r="U522" i="1"/>
  <c r="F522" i="1"/>
  <c r="G522" i="1"/>
  <c r="H522" i="1"/>
  <c r="I522" i="1"/>
  <c r="J522" i="1"/>
  <c r="K522" i="1"/>
  <c r="L522" i="1"/>
  <c r="N522" i="1"/>
  <c r="O522" i="1"/>
  <c r="P522" i="1"/>
  <c r="Q52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2" i="1"/>
</calcChain>
</file>

<file path=xl/sharedStrings.xml><?xml version="1.0" encoding="utf-8"?>
<sst xmlns="http://schemas.openxmlformats.org/spreadsheetml/2006/main" count="1078" uniqueCount="561">
  <si>
    <t>id</t>
  </si>
  <si>
    <t>type</t>
  </si>
  <si>
    <t>examination_point</t>
  </si>
  <si>
    <t>raw_text</t>
  </si>
  <si>
    <t>一元一次方程的应用</t>
  </si>
  <si>
    <t>某公园为了吸引更多游客，推出了“个人年票”的售票方式(从购买日起，可供持票者使用一年)，年票分A、B二类：A类年票每张49元，持票者每次进入公园时，再购买3元的门票；B类年票每张64元，持票者每次进入公园时，再购买2元的门票。求一年内游客进入该公园多少次，购买A类、B类年票花钱一样多？</t>
  </si>
  <si>
    <t>一元一次方程的应用——行程问题</t>
  </si>
  <si>
    <t>A、B两地相距15千米，一辆汽车以每小时50千米的速度从A地出发，另一辆汽车以每小时40千米的速度从B地出发，相向而行，问假设两辆汽车还未相遇，则经过多长时间两车相距3千米?</t>
  </si>
  <si>
    <t>某种商品每件的标价是330元，按标价的八折销售时，仍可获利10%，则这种商品每件的进价是多少元？</t>
  </si>
  <si>
    <t>某商店在某一时间以每件60元的价格卖出两件衣服，其中一件盈利25%，另一件亏损25%，盈利的衣服的进价是多少？</t>
  </si>
  <si>
    <t>一项工作，甲独做需18天，乙独做需24天，如果两人合做8天后，余下的工作再由甲独做多少天完成？</t>
  </si>
  <si>
    <t>分式方程的应用</t>
  </si>
  <si>
    <t>为落实党中央“长江大保护”新发展理念，我市持续推进长江岸线生态保护，还洞庭湖和长江水清岸绿的自然生态原貌。某工程队负责对一面积为33000平方米的非法砂石码头进行拆除，回填土方和复绿施工，为了缩短工期，该工程队增加了人力和设备，实际工作效率比原计划每天提高了20%，结果提前11天完成任务，求原计划平均每天施工多少平方米？</t>
  </si>
  <si>
    <t>一元一次方程的应用——其他问题</t>
  </si>
  <si>
    <t>甲组的4名工人3月份完成的总工作量比此月人均定额的4倍多20件，乙组的5名工人3月份完成的总工作量比此月人均定额的6倍少20件.如果两组工人实际完成的此月人均工作量相等，那么此月人均定额是多少件？</t>
  </si>
  <si>
    <t>“十一黄金周”前，某旅行社要印刷旅游宣传材料，甲印刷厂提出：每份材料收0.2元印刷费，另收500元制版费；乙印刷厂提出：每份材料收0.4元印刷费，不收制版费。印制多少时收费一样？</t>
  </si>
  <si>
    <t>某商店卖出一套衣服，亏损了8元，其中裤子是按60元卖出的，盈利了25%；上衣亏损了25%。这套衣服中裤子的进价是48元.这套衣服中上衣是按多少元卖出的？</t>
  </si>
  <si>
    <t>某企业对应聘人员进行英语考试，试题由50道选择题组成，评分标准规定：每道题的答案选对得3分，不选得0分，选错倒扣1分。已知某人有5道题未作，得了103分，则这个人选错了几道题？</t>
  </si>
  <si>
    <t>甲乙两地相距900千米，一列快车从甲地匀速驶往乙地，一列慢车从乙地匀速驶往甲地，两车同时出发，行驶4h时，两车在途中相遇，已知快车的速度大于慢车的速度，但不超过150千米/h，若不计快车、慢车的长度，设慢车行驶的时间为xh，假设两车在相遇前，快车与慢车之间的距离为225千米时，求x的值.</t>
  </si>
  <si>
    <t>某校为了创建书香校园，计划进一批图书，经了解。文学书的单价比科普书的单价少20元，用800元购进的文学书本数与用1200元购进的科普书本数相等。文学书的单价是多少元？</t>
  </si>
  <si>
    <t>学校准备购买纪念笔和记事本奖励同学，纪念笔的单价比记事本的单价多4元，且用30元买记事本的数量与用50元买纪念笔的数量相同。求纪念笔的单价。</t>
  </si>
  <si>
    <t>为增强市民的节水意识，某市对居民用水实行“阶梯收费”：规定每户每月不超过月用水标准部分的水价为1.5元/吨，超过月用水标准量部分的水价为2.5元/吨。该市小明家5月份用水14吨，交水费25元。该市规定的每户月用水标准量是多少吨？</t>
  </si>
  <si>
    <t>某校七年级社会实践小组去某商场调查商品的销售情况，了解到该商场以每件80元的价格购进了某品牌衬衫500件，并以每件120元的价格销售了400件，商场准备采取促销措施，将剩下的衬衫降价销售。每件衬衫降价多少元时，销售完这批衬衫正好达到盈利45%的预期目标？</t>
  </si>
  <si>
    <t>一元一次方程的应用——数字问题</t>
  </si>
  <si>
    <t>一个三位数满足以下条件：三个数位上的数字之和为12；②百位上的数比十位上的数大6，③个位上的数是十位上的数的4倍，求这个三位数。</t>
  </si>
  <si>
    <t>解一元一次方程（二）——去括号</t>
  </si>
  <si>
    <t>一个两位数，个位与十位上的数字之和为12，如果交换个位与十位数字，则所得新数比原数大36，求原两位数。</t>
  </si>
  <si>
    <t>小明每天早上要在7：50分之前赶到距家1000米的学校上学。一天，小明以80米/分的速度出发，5分后，小明的爸爸发现他忘了带语文书。于是，爸爸立即以180米/分的速度去追小明，多久之后小明的爸爸追到小明？</t>
  </si>
  <si>
    <t>某项工程，由甲单独做6小时完成，由乙单独做12小时完成，现在由甲队单独做4小时，剩下部分由甲乙共同完成，则甲乙共同完成多少小时才能把该项工程完成？</t>
  </si>
  <si>
    <t>某校组织七（1）班学生分甲、乙两队参加劳动，其中甲队人数是乙队人数的2倍，后因劳动需要，从甲队抽调16人支援乙队，这时甲队人数比乙队人数的一半还少3人，求乙队原来有多少人？</t>
  </si>
  <si>
    <t>一些相同的房间需要粉刷墙面。一天3名一级技工去粉刷8个房间，结果其中有50平方米墙面未来得及粉刷；同样时间内5名二级技工粉刷了10个房间之外，还多粉刷了另外的40平方米墙面，已知每名同级别的技工每天的工作效率相同，每名一级技工比二级技工一天多粉刷10平方米墙面。求二级技工每天粉刷的墙面是多少平方米？</t>
  </si>
  <si>
    <t>某商店把一商品按标价的九折出售(即优惠10%)，仍可获利20%，若该商品的标价为每件28元，则该商品的进价为多少元？</t>
  </si>
  <si>
    <t>一元一次方程的应用——比赛积分</t>
  </si>
  <si>
    <t>2019年11月，我区组织了一次职工篮球联赛，比赛分初赛阶段和决赛阶段，在初赛阶段中，每队有10场比赛，每场比赛都要分出胜负，每队胜一场得2分，输一场得1分，积分超过15分才能获得决赛资格.已知甲队在初赛阶段的积分为18分，求甲队初赛阶段胜多少场；</t>
  </si>
  <si>
    <t>一次足球比赛共赛15场，胜一场积2分，平一场积1分，负一场积0分，某中学足球队所胜场数是所负场数的2倍，结果共得19分，则这个足球队共负多少场？</t>
  </si>
  <si>
    <t>某品牌商品，按标价八折(标价的80%)出售，仍可获得20%的利润，若该商品标价为18元，则该商品的进价为多少元？</t>
  </si>
  <si>
    <t>一元一次方程的应用——和差倍分问题</t>
  </si>
  <si>
    <t>甲种铅笔每支0.3元，乙种铅笔每支0.6元，用9元钱买了两种铅笔共20支，则甲种铅笔买了多少支？</t>
  </si>
  <si>
    <t>列方程解应用题：用甲、乙、丙三部抽水机从矿井里抽水，单独用一部抽水机抽完，用甲需要24小时，用乙需要30小时，用丙需要40小时，现在甲、丙同时抽了6小时后，把乙机加入，问乙加入后还需要多少时间才能把井里的水抽完。</t>
  </si>
  <si>
    <t>某公司购买了一批A、B两种型号的产品，其中A型产品的单价比B型产品的单价多6元，已知该公司用1400元购买A型产品的件数与用1160元购买B型产品的件数相等。求该公司购买的B型号产品的单价是多少元？</t>
  </si>
  <si>
    <t>一元一次方程的应用——销售盈亏</t>
  </si>
  <si>
    <t>某校七年级社会实践小组去商场调查商品销售情况，了解到该商场以每件80元的价格购进了某品牌衬衫500件，并以每件120元的价格销售了400件，商场准备采取促销措施，将剩下的衬衫降价销售。请你帮商场计算一下,每件衬衫降价多少元时，销售完这批衬衫正好达到盈利40%的预期目标？</t>
  </si>
  <si>
    <t>现有A、B两家粮食种植基地往甲、乙两个粮食配送中心运送粮食，A地可运出粮食80吨，B地可运出粮食60吨，其中甲地需要粮食90吨，乙地需要粮食50吨，每吨粮食运费如下表(表1)。若从A、B两家粮食种植基地运往甲地粮食的总费用，是从A、B两家粮食种植基地运往乙地粮食的总费用的2倍，求从A基地运往甲粮食配送中心为多少吨？(表1;单位：百元)起点：A，目的地：甲：运费：5，乙：运费：4；起点：B，目的地：甲：运费：2，乙：运费：3.</t>
  </si>
  <si>
    <t>2014年11月份的日历，在日历上任意圈出一个竖列上相邻的3个数。如果被圈出的三个数的和为51，则这三个数中最后一天为2014年11月多少号？</t>
  </si>
  <si>
    <t>某企业生产一种产品，每件的成本为400元，售价为505元。为进一步扩大市场，该企业决定在降低成本的同时，将这种产品每件售价降低4%，这样销售量可提高5%。该产品每件成本降低多少元时，能使企业在降价前后的销售利润保持不变。</t>
  </si>
  <si>
    <t>一元一次方程的应用——配套问题</t>
  </si>
  <si>
    <t>某车间加工机轴和轴承，已知一个工人平均每天可以加工15根机轴或10个轴承，1根机轴和2个轴承配成一套，现在该车间共有80名工人，则应该分配多少工人加工机轴，才能使每天加工的机轴和轴承配套？</t>
  </si>
  <si>
    <t>广州火车南站广场计划在广场内种植A，B两种花木共6600棵，B花木的数量是2400棵。如果园林处安排26人同时种植这两种花木，每人每天能种植A花木60棵或B花木40棵，应分别安排多少人种植A花木，才能确保同时种植完这两种花木？</t>
  </si>
  <si>
    <t>甲乙二人在环形跑道上同时同地出发，同向运动。若甲的速度是乙的速度的2倍，则甲运动2周，甲、乙第一次相遇；若甲的速度是乙的速度3倍，则甲运动3/2周，甲、乙第1次相遇；若甲的速度是乙的速度4倍，则甲运动4/3周，甲、乙第一次相遇，…，以此探究正常走时的时钟，时针和分针从0点(12点)同时出发，分针旋转多少周，时针和分针第一次相遇。</t>
  </si>
  <si>
    <t>元旦晚会上，准备给班上40位同学一人一件礼物，分别是玩具与文具，班委会花了175元到超市买了玩具和文具共40件，若玩具每2个15元，文具每3个10元，问班委会买了多少个玩具？</t>
  </si>
  <si>
    <t>一元一次方程的应用——工程问题</t>
  </si>
  <si>
    <t>整理一批图书，由一个人做要80h完成.现计划由一部分人先做8h，然后增加4人与他们一起做6h，完成这项工作.假设这些人的工作效率相同，具体应先安排多少人工作？</t>
  </si>
  <si>
    <t>在争创全国卫生城市的活动中，某市“青年突击队’决定义务清运一堆重达100吨的垃圾，在清运了25吨后，由于周围居民的加入，使清运的速度比原来提高了1倍，结果仅用了5小时就完成了本次清运工作，青年突击队原来每小时清运多少吨垃圾？</t>
  </si>
  <si>
    <t>商场将一批学生书包按成本价提高50%后标价，又按标价的80%优惠卖出，每个的售价是72元。每个这种书包的成本价是多少元？</t>
  </si>
  <si>
    <t>某社区积极响应正在开展的“创文活动”，组织甲、乙两个志愿工程队对社区的一些区域进行绿化改造。已知甲工程队每小时能完成的绿化面积是乙工程队每小时能完成的绿化面积的2倍，并且甲工程队完成300平方米的绿化面积比乙工程队完成300平方米的绿化面积少用3小时，乙工程队每小时能完成多少平方米的绿化面积？</t>
  </si>
  <si>
    <t>某校一栋5层的教学大楼，第一层没有教室，二至五层，每层楼有6间教室，进出这栋大楼共有两道大小相同的大门和一道小门（平时小门不开）。安全检查中，对这3道门进行了测试：当同时开启一道大门和一道小门时，3分钟内可以通过540名学生，若一道大门平均每分钟比一道小门可多通过60名学生。求平均每分钟一道大门可以通过多少名学生？</t>
  </si>
  <si>
    <t>某中学的学生自己整修操场，如果让七年级学生单独工作需7.5小时完成，如果让八年级学生单独工作需5小时完成。如果让七、八年级学生一起工作1小时，再由八年级学生完成剩余部分，共需多少时间完成？（请用列方程解应用题）</t>
  </si>
  <si>
    <t>某糕点厂中秋节前要制作一批盒装月饼，每盒装1个大月饼和7个小月饼，制作1个大月饼要用0.06面粉，1个小月饼要用0.015面粉，现共有面粉330，制作大月饼用多少面粉时，才能使生产的大小月饼刚好配套成盒？</t>
  </si>
  <si>
    <t>某物品的标价为132元，若以9折（标价的90%）出售，仍可获利10%，则该物品的进价是多少元？</t>
  </si>
  <si>
    <t>《孙子算经》中记载：“今有三人共车，二车空二人共车，九人步，问车何？”译文大意为：令有若干人乘车，每三人乘一辆车，最终剩余2辆车；若每2人共乘一辆车，最终剩余9个人无车可乘，问有多少辆车？请解答上述问题。</t>
  </si>
  <si>
    <t>市政府要求武汉轻轨二七路段工程12个月完工。现由甲、乙两工程队参与施工，已知甲队单独完成需要16个月，每月需费用600万元；乙队单独完成需要24个月，每月需费用400万元。由于前期工程路面较宽，可由甲、乙两队共同施工。随着工程的进行，路面变窄，两队再同时施工，对交通影响较大，为了减小对解放大道的交通秩序的影响，后期只能由一个工程队施工。先由甲、乙两个工程队合做m个月后，再由甲队单独施工，保证恰好按时完成。求方案m的值.</t>
  </si>
  <si>
    <t>“汉江女神号”游轮在两码头之间航行，顺水航行需4小时行完全程，逆水航行4.5小时后还差8公里到达码头，已知水流速度为2千米/h，求这两个码头之间的距离是多少？</t>
  </si>
  <si>
    <t>现有若干本书分给班上的同学，若每人分5本，则还缺20本；若每人分4本，则剩余25本。问班上共有多少名同学？</t>
  </si>
  <si>
    <t>某手机生产厂家根据其手机在市场上的销售情况，决定对原来每部2000元出售的一款手机进行调价，并按新售价的8折（标价的80%）优惠出售，结果每部手机仍获得实际售价的20%的利润，已知该款手机每部成本价是原销售单价的60%。求调价后这款手机的新售价是每部多少元？</t>
  </si>
  <si>
    <t>已知一块A型纸板可以制成1个C型正方形纸板和2个D型长方形纸板，一块B型纸板可以制成2个C型正方形纸板和1个D型长方形纸板。现有A，B两种纸板共20块，设A型纸板有x块（x为正整数）。出售一个C型正方形纸板可以获利10元，出售1个D型长方形纸板可以获利12元。若将所制成的C型，D型纸板全部售出可以获利650元，求x的值.</t>
  </si>
  <si>
    <t>学校气象小组测得一周的温度并登记在下表：星期：日，气温：22；星期：一，气温：22；星期：二，气温：24；星期：三，气温：25；星期：四，气温：23；星期：五，气温：？；星期：六，气温：26；星期：周平均气温：24，记录表中，星期五的气温是多少度？</t>
  </si>
  <si>
    <t>今年某中学到鹅鼻嘴公园植树，已知该中学离公园约15千米，部分学生骑自行车出发2/3小时后，其余学生乘汽车出发，汽车速度是自行车速度的3倍，全体学生同时到达，设自行车的速度为v千米/h。求v的值。</t>
  </si>
  <si>
    <t>荷花文化节前夕，我市对观光工程招标时，按照甲、乙两个工程队的投标书，甲、乙施工一天的工程费分别为1.5万元和1.2万元，市政局根据甲乙两队的投标书测算，应有三种施工方案：甲队单独做这项工程刚好如期完成。②乙队单独做这项工程，要比规定日期多5天完成。③若甲、乙两队合作4天后，余下的工程由乙队单独做，也正好如期完成。求规定如期完成的天数。</t>
  </si>
  <si>
    <t>一棉花种植区的农民研制出采摘棉花的单人便携式采棉机，效率高，能耗低。经测试，一个人操作该采棉机的采摘效率为35公斤/时，大约是一个人工采摘的3.5倍。雇人采摘棉花，无论手工还是机器采摘，均按每采摘1公斤棉花1.5元的标准支付雇工工资，雇工每天工作8小时。老王家经测算，收购完全部棉花需出资24000元雇佣10人用8天时间，那么他应雇佣操作采棉机多少人？</t>
  </si>
  <si>
    <t>某市大市场进行高端的家用电器销售，若按标价的八折销售该电器一件，则可获利400元，其利润率为20%。该电器的进价是多少？</t>
  </si>
  <si>
    <t>为解决“最后一公里”的交通接驳问题，某市投放了大量公租自行车使用，到2014年底，全市已有公租自行车25000辆，租赁点600个，预计到2016年底，全市将有公租自行车50000辆，并且平均每个租赁点的公租自行车数量是2014年底平均每个租赁点的公租自行车数量的1.2倍，预计到2016年底，全市将有租赁点多少个？</t>
  </si>
  <si>
    <t>某汽车销售公司经销某品牌A款汽车，随着汽车的普及，其价格也在不断下降。今年开始A款汽车的售价比去年同期每辆降价1万元，如果卖出相同数量的A款汽车，去年销售额为100万元，今年销售额只有90万元。今年1月份A款汽车每辆售价多少万元？</t>
  </si>
  <si>
    <t>某中学组织七年级学生秋游，由王老师和甲、乙两同学到客车租赁公司洽谈租车事宜。公司经理对他们说：“公司有45座和60座两种型号的客车可供租用，60座的客车每辆每天的租金比45座的贵100元。”王老师说：“我们学校八年级昨天在这个公司租了2辆60座和5辆45座的客车，一天的租金为1600元，你们能知道45座的客车每辆每天的租金是多少元吗？”甲、乙两同学想了一下，都说知道了价格。你知道45座的客车每辆每天的租金是多少元？</t>
  </si>
  <si>
    <t>甲队有42人，乙队有36人，现因工作需要使甲队人数是乙队人数的2倍，问应从乙队调多少人到甲队？</t>
  </si>
  <si>
    <t>墨江中学举行田径运动会，大家积极报名参加，都想为班级争光添彩。七年级7班的李伟同学参加了一场1500米的赛跑，他以6米/秒的速度跑了一段路程，又以4米/秒的速度跑完了其余的路程，一共花了300秒，请你计算李伟同学以6米/秒的速度跑了多少米？</t>
  </si>
  <si>
    <t>一个数的1/3与2的差等于这个数的一半。这个数是多少？</t>
  </si>
  <si>
    <t>列一元一次方程解应用问题：一个蓄水池装有甲、乙两个进水管和丙一个出水管，单独开放甲管3小时可注满一池水，单独开放乙管6小时可注满一池水，单独开放丙管4小时可放尽一池水。若同时开放甲、乙、丙三个水管，几小时可注满水池？</t>
  </si>
  <si>
    <t>“双十一”即指每年的11月11日，由于日期特殊，因此又被称为光棍节。而大型的电子网站一般会利用这一天来进行一些大规模的打折促销活动，以提高销售额度。销售服装的“一米阳光”淘宝店今冬重点推出某新款大衣，标价为1000元，平常一律打九折（标价的90%）出售。商家抓住商机，提前在淘宝网首页上打出广告“双11当天该款大衣打六五折（标价的65%）后再让利30元”。因此双11当天该款大衣销售了30件，最后“双11”当天的利润相当于平时卖10件大衣的利润，求衣服的进价。</t>
  </si>
  <si>
    <t>育才中学组织七年级师生去春游，如果单租45座客车若干辆，则刚好坐满；如果单租60座的客车，则少租一辆，且余15个座位。若单租45座客车需要多少辆？</t>
  </si>
  <si>
    <t>20位同学在植树节这天共种了52棵树苗，其中男生每人种3棵，女生每人种2棵。则其中男生人数是多少？</t>
  </si>
  <si>
    <t>某文艺团体为“希望工程”募捐组织了一场义演，已知成人票每张8元，学生票每张5元，共售出1000张票，筹得票款6950元，求成人票售出多少张。</t>
  </si>
  <si>
    <t>某校七年级A班有x人，B班比A班人数的2倍少10人，如果从B班调出8人到A班。x等于多少时，调动后两班人数一样多？</t>
  </si>
  <si>
    <t>有一商店把某件商品按进价加100%作为定价，可是总卖不出去，为了保证不亏本，则商家应该在定价的基础上降价百分之多少售出？</t>
  </si>
  <si>
    <t>学校买回一些练习本发给初一年级的学生，若每人发5本，则剩余80本，若每人发6本，则少40本，问初一年级有多少名学生。</t>
  </si>
  <si>
    <t>一件工作，甲单独做20小时完成，乙单独做12小时完成，现在先由甲单独做4小时，余下的由甲乙一起完成。余下的部分需要几小时完成？</t>
  </si>
  <si>
    <t>今年母亲42岁，儿子2岁，多少年后，母亲年龄是儿子年龄的6倍。</t>
  </si>
  <si>
    <t>在一条直线上依次有A、B、C三个港口，A、B两港相距30千米，B、C两港相距90千米。甲、乙两船同时分别从A、B港口出发，沿直线匀速驶向C港，最终达到C港。甲0.5小时到达B港，此时两船相距15千米。如果甲已经追上了乙船，何时甲乙两船相距10千米。</t>
  </si>
  <si>
    <t>某商品的销售价格每件900元，为了参加市场竞争，商店按售价的九折(标价的90%)再让利40元销售，些时仍可获利10%，此商品的进价为多少元？</t>
  </si>
  <si>
    <t>陈老师和学生做一个猜数游戏，他让学生按照以下步骤进行计算：任想一个两位数，把它乘以2，再加上9，把所得的和再乘以2；②把它乘以2，再加上30，把所得的和除以2；③把所得的结果减去②所得的结果，这个差即为最后的结果。陈老师说：只要你告诉我最后的结果，我就能猜出你最初想的两位数.学生周晓晓计算的结果是96，你能猜出他最初想的两位数是多少吗?</t>
  </si>
  <si>
    <t>我市为创建全国文明城市，开展“美化绿化城市”活动，计划经过若干年使城区绿化总面积新增360万平方米。自2013年初开始实施后，实际每年绿化面积是原计划的1.6倍，这可提前4年完成任务。问原计划每年绿化面积多少万平方米？</t>
  </si>
  <si>
    <t>现在，红旗商场进行促销活动，出售一种优惠购物卡(注：此卡只作为购物优惠凭证不能顶替货款)，花300元买这种卡后，凭卡可在这家商场按标价的8折购物。顾客购买多少元金额的商品时，买卡与不买卡花钱相等？</t>
  </si>
  <si>
    <t>泸县到成都的距离为255千米，以前从泸县到成都只能坐汽车，2015年隆昌到成都的高铁开通后，也可以先从泸县坐到隆昌，再由隆昌坐高铁到成都，假设两种走法路程都为255千米，已知汽车的平均速度为100千米/h，高铁的平均速度为300千米/h，有同学计算过高铁开通后从泸县到成都可以节省1.5小时，求泸县到隆昌的距离。</t>
  </si>
  <si>
    <t>某中学原计划加工一批校服，现有甲、乙两个工厂加工这批校服，已知甲工厂每天能加工这种校服16件，乙工厂每天加工这种校服24件，且单独加工这批校服甲厂比乙厂要多用20天。求这批校服共有多少件？</t>
  </si>
  <si>
    <t>汽车从甲地到乙地，用去油箱中汽油的1/4，由乙地到丙地用去剩下汽油的1/5，油箱中还剩下6升。油箱中原有汽油多少升？</t>
  </si>
  <si>
    <t>有几名同学在砖厂义务劳动，如果每人搬2块砖，那么还有6块剩余；如果每人搬4块，正好搬完，你知道有多少名同学吗？</t>
  </si>
  <si>
    <t>小明从家里骑自行车到学校，每小时骑15千米，可早到1/6小时；每小时骑12千米，就会迟到1/12小时，问他家到学校的路程是多少千米？</t>
  </si>
  <si>
    <t>一家商店因换季准备将某种服装打折销售，每件服装如果按标价的五折出售将亏20元，而按标价的八折出售将赚40元。问：每件服装的标价是多少？</t>
  </si>
  <si>
    <t>甲班有35人，乙班有26人。现在需要从甲、乙两班各抽调一些同学去养老院参加敬老活动。如果从甲班抽调的人数比乙班多3人，那么甲班剩余的人数恰好是乙班剩余人数的2倍。问从乙班抽调了多少人参加了这次敬老活动？</t>
  </si>
  <si>
    <t>列方程解应用题.在学校的一次劳动中，在甲处劳动的有27人，在乙处劳动的有19人，后因劳动任务需要，需要另外调20人来支援，使在甲处的人数是在乙处人数的2倍，问调往甲处多少人？</t>
  </si>
  <si>
    <t>一个两位数的十位数字与个位数字的和是7，把这个两位数加上45后，结果恰好成为数字对调后组成的两位数，则这个两位数十位上的值是多少？</t>
  </si>
  <si>
    <t>某工程队承接了60万平方米的荒山绿化任务，为了迎接雨季的到来，实际工作时每天的工作效率比原计划提高了25%，结果提前30天完成了这一任务，求实际工作时每天绿化的面积。</t>
  </si>
  <si>
    <t>水上乐园星期天共卖出门票128张，收入912元。门票价格为成人每张10元，儿童可享受六折优惠。求这一天出售的成人票多少张？</t>
  </si>
  <si>
    <t>某商店到苹果产地去收购苹果，收购价为每千克1.2元，从产地到商店的距离是400千米，运费为每吨货物每运1千米收1.50元，如果在运输及销售过程中的损耗为10%，商店要想获得其成本的25%的利润，零售价应是每千克多少元？</t>
  </si>
  <si>
    <t>在校园手工制作活动中，甲、乙两人接到手工制作纸花任务，已知甲每小时制作纸花比乙每小时制作纸花少20朵，乙两人每小时制作纸花80朵。本次活动学校需要该种纸花不少于350朵，若由甲、乙两人共同制作，则至少需要几小时完成任务？</t>
  </si>
  <si>
    <t>小王每天乘公交车上班，车程为17.5千米，开设公交专用车道后，车程没变，公交车平均每小时比原来多行驶5千米，现在上班乘公交车所用时间是原来所用时间的7/8，求小王原来上班乘公交车所需的时间。</t>
  </si>
  <si>
    <t>用白铁皮做罐头盒，每张白铁皮可制作盒身16个或盒底43个，一个盒身与2个盒底配成一个罐头盒.现有150张白铁皮，用多少张白铁皮制盒身可以正好制成整套罐头盒而无余料？</t>
  </si>
  <si>
    <t>列方程解应用题：一艘船从甲码头到乙码头顺流而行，用了2.5h；从乙码头返回甲码头逆流而行，用了3h。已知水流的速度是3.5，求船在静水中的平均速度。</t>
  </si>
  <si>
    <t>某车间原计划13小时生产一批零件，后来每小时多生产10件，用了12小时不但完成任务，而且还多生产60件，设原计划每小时生产多少个零件</t>
  </si>
  <si>
    <t>线段AB=60厘米。点P沿线段AB自A点向B点以4厘米/分的速度运动，同时点Q沿直线自B点向A点以6厘米/分的速度运动，几分钟后，P、Q两点相遇？</t>
  </si>
  <si>
    <t>某工厂有甲、乙两种型号的机器生产同样的产品，两种型号的机器一共48台，其中甲型号机器比乙型号机器多10台。求乙型号机器有多少台？</t>
  </si>
  <si>
    <t>某公司根据市场需求销售A、B两种型号的净水器，每台A型净水器比每台B型净水器进价多200元，用50000元购进A型净水器与用45000元购进B型净水器的数量相等。求每台A型净水器的进价是多少元？</t>
  </si>
  <si>
    <t>列方程解应用题：甲组的5名工人9月份完成的总工作量比此月人均定额的4倍多30件，乙组的6名工人9月份完成的总工作量比此月人均定额的6倍少30件.如果甲组工人实际完成的此月人均工作量比乙组的多3件，则此月人均定额是多少？</t>
  </si>
  <si>
    <t>某公司选用同一种车型的车辆运送一批货物，如果每辆车拉8吨，则剩下4吨；如果每辆车拉10吨，则有一辆车只拉了6吨，一共有几辆车参与拉运这批货物？这批货物有多少吨？</t>
  </si>
  <si>
    <t>清明小长假期间，几名同学和家长共同租一辆车去郊游，租车的价位是480元，出发时又有4名学生参加进来，结果每个人比原来少分摊4元车费，请问一共有几个人参加此次郊游活动？</t>
  </si>
  <si>
    <t>在10月份内，小明一家出去旅游，共5天，这5天日期之和为60，小明家是10月多少日出发的？</t>
  </si>
  <si>
    <t>甲组的4工人12月份完成的总工作量比这个月人均额定工作量的3倍少1件，乙组的6名工人12月份完成的总工作量比这个月人均额定工作量的5倍多7件。如果甲组工人这个月实际完成的人均工作量比乙组这个月实际完成的人均工作量少2件，那么这个月人均额定工作量是多少件？</t>
  </si>
  <si>
    <t>用汽车运一批货物，第一次运走总数的45%，第二次运走75吨，还剩下35吨，这批货物共有多少吨？</t>
  </si>
  <si>
    <t>在400米的环形跑道上，男生每分钟跑320米，女生每分钟跑280米，男女生同时同地同向出发，t分钟第2次相遇，则t的值时多少？</t>
  </si>
  <si>
    <t>某校组织部分师生从学校（A地）到300千米外的B地进行红色之旅（革命传统教育），租用了客运公司甲、乙两辆车，其中乙车速度是甲车速度的4/5，两车同时从学校出发，以各自的速度匀速行驶，行驶2小时后甲车到达服务区C地，此时两车相距40千米，甲车在服务区休息15分钟后按原速度开往B地，乙车行驶过程中未做停留。甲车的速度为100千米/小时。问甲车在C地结束休息后再行驶多长时间，甲、乙两车相距30千米？</t>
  </si>
  <si>
    <t>整理一批图书，由甲单独完成需要15小时，由乙单独完成需要20小时。现在先让甲整理1小时，之后甲乙两人合作整理完这批图书，那么乙工作多少小时？</t>
  </si>
  <si>
    <t>为响应市政府“创建国家森林城市”的号召，某小区计划购进A、B两种树苗共17棵，已知A种树苗每棵80元，B种树苗每棵60元。若购进A、B两种树苗刚好用去1220元，问购进B种树苗多少棵？</t>
  </si>
  <si>
    <t>某车间要加工960个零件，为了尽快完成任务，该车间实际每天加工零件个数比计划原来每天多加工20%，结果提前10天完成任务。原计划每天加工多少个零件？</t>
  </si>
  <si>
    <t>“老牛：累死我了！小马：你还累？这么大的个，才比我多驮了2个。老牛：哼，我从你背上拿来1个，我的包裹数就是你的2倍！小马：真的？！”根据老牛和小马的对话，你能求出它小马驮了多少个包裹吗？</t>
  </si>
  <si>
    <t>某书法班第一期开班，负责人到书店给学员购买一种字帖，该书店规定一次购买100本以上，可享受8折优惠。若给学员每人购买一本，不能享受8折优惠，需付款3080元；若多买22本，就可享受8折优惠，同样只需付款3080元。请问该书法班第一期开班有多少名学员？</t>
  </si>
  <si>
    <t>列方程（组）解应用题：为顺利通过国家义务教育均衡发展验收，我市某中学配备了两个多媒体教室，购买了笔记本电脑和台式电脑共120台，购买笔记本电脑用了72000元，购买台式电脑用了240000元，已知笔记本电脑单价是台式电脑单价的1.5倍，那么台式电脑的单价是多少？</t>
  </si>
  <si>
    <t>武汉新港要把360吨的货物送往甲、乙两地，现用A、B两种货车共24辆恰好能一次性装完。已知这两种货车的载重量分别是20吨和12吨。求A货车有多少辆？</t>
  </si>
  <si>
    <t>为方便市民出行，减轻城市中心交通压力，我市正在修建贯穿城市东西、南北的地铁1号线、地铁2号线一期工程。已知修建地铁1号线23千米和2号线一期18千米共需投资310.6亿；若2号线一期每千米的平均造价比1号线每千米的平均造价多0.4亿元。求1号线每千米的平均造价是多少亿元？</t>
  </si>
  <si>
    <t>由甲、乙两个工程队承包某校校园绿化工程，甲、乙两队单独完成这项工程所需时间比是3：2，两队共同施工6天可以完成。求甲队单独完成此项工程需多少天？</t>
  </si>
  <si>
    <t>小新出生时父亲28岁，现在父亲的年龄是小新的3倍，现在小新的年龄是多少岁？</t>
  </si>
  <si>
    <t>某超市用1200元购进一批甲玩具，用800元购进一批乙玩具，所购甲玩具件数是乙玩具件数的5/4，已知甲玩具的进货单价比乙玩具的进货单价多1元。求：甲玩具的进货单价是多少元？</t>
  </si>
  <si>
    <t>某商店购进A、B两种商品，B商品每件进价比A商品每件进价多1元，若50元购进A商品的件数与60元购进B商品的件数相同。求A商品每件进价是多少元？</t>
  </si>
  <si>
    <t>一商店把某种品牌的羊毛衫按标价的八折出售，仍可获利20元，若该品牌的羊毛衫进价为100元，则标价为多少？</t>
  </si>
  <si>
    <t>A、B两地相距600千米，一列慢车从A地开出，每小时行80千米，一列快车从B地开出，每小时行120千米，两车同时开出。若同向而行，出发后多少小时相遇？</t>
  </si>
  <si>
    <t>某校组织七年级学生参加社会实践活动，如果单独租用45座客车若干辆，则刚好坐满；如果单独租用60座客车，则可少租1辆，并且剩余15个座位。该校参加社会实践活动有多少人？</t>
  </si>
  <si>
    <t>七年级某班共63人，其中男生与女生的人数之比为4：5，问男生有多少人？</t>
  </si>
  <si>
    <t>一商店在某一时间以每件a元（a＞0）的价格卖出两件衣服，其中一件盈利25%，另一件亏损25%。第一件的进价是多少元？</t>
  </si>
  <si>
    <t>甲、乙两列火车从相距480千米的A、B两地同时出发，相向而行，甲车每小时行80千米，乙车每小时行70千米，问多少小时后两车相距30千米（相遇前）？</t>
  </si>
  <si>
    <t>2015-2016赛季中国男子篮球职业联赛(即CBA)激战正酣，浙江广厦队表现不俗，暂居榜首，马布里领衔的卫冕冠军北京首钢队战绩不佳，截止12月23日，在前21轮比赛中，积35分位列第七位，按比赛规则，胜一场得2分，负一场得1分，那么截止12月23日北京首钢队共胜了多少场？</t>
  </si>
  <si>
    <t>周末，小明和父母以每分钟40米的速度步行从家出发去景蓝小区看望外婆，走了5分钟后，忽然发现自己给外婆带的礼物落在家里，父母继续保持原速度行进，小明则立刻以每分钟60米的速度折返，取到礼物后立刻出发追赶父母，恰好在景蓝小区门口追上父母。求小明家到景蓝小区门口的距离。</t>
  </si>
  <si>
    <t>桐梓四中体育器材室共有60个篮球，在学校体育艺术节活动中，有3个班级分别计划借篮球总数的1/2，1/3和1/4，请你算一算，还差多少个？</t>
  </si>
  <si>
    <t>一件衣服先按成本提高50%标价，再以8折(标价的80%)出售，结果获利28元，那么这件衣服的成本是多少元？</t>
  </si>
  <si>
    <t>一列动车和一列货车分别从北京站和长春站同时出发，相向而行，动车的速度为174千米/时，货车的速度为92千米/时，当动车到达长春站时，货车恰好到达距北京站492千米的锦州站，求北京站到长春站的距离是多少？</t>
  </si>
  <si>
    <t>服装店10月份以每套500元的进价购进一批羽绒服，当月以标价销售，销售额14000元，进入11月份搞促销活动，每件降价50元，这样销售额比10月份增加了5500元，售出的件数是10月份的1.5倍。求每件羽绒服的标价？</t>
  </si>
  <si>
    <t>某商品的标价为200元，8折销售仍获利25%，则商品进价为多少元。</t>
  </si>
  <si>
    <t>修筑一条公路，甲工程队单独承包要80天完成，乙工程队单独承包要120天完成。现由甲、乙两个工程队合作承包，多少天可以完成？</t>
  </si>
  <si>
    <t>过节了，某超市用6000元购进一批“红富士”苹果进行试销，由于销售状况良好，超市又调拨13000元资金购进该品种苹果，但这次的进货价比试销时的进货价每千克多了0.5元，购进苹果的数量是试销时的2倍。试销时该品种苹果的进货价是每千克多少元？</t>
  </si>
  <si>
    <t>某道路一侧原有路灯106盏，相邻两盏灯的距离为36米，现计划全部更换为新型的节能灯，且相邻两盏灯的距离变为70米，则需更换的新型节能灯有多少盏？</t>
  </si>
  <si>
    <t>一家商店将某种服装按成本价提高20%后标价，又以9折优惠卖出，结果每件服装仍可获利8元，求这种服装每件的成本。</t>
  </si>
  <si>
    <t>将若干本书放入若干个抽屉中，若每个抽屉放4本书，则有3本书无抽屉可放；若每个抽屉放5本书，则只有一个抽屉无书可放，其它抽屉正好放满，则这批书有多少本。</t>
  </si>
  <si>
    <t>A、B两地相距216千米，甲、乙分别在A、B两地，若甲骑车的速度为15千米/时，乙骑车的速度为12千米/时甲、乙相向而行，要使他们相遇于AB的中点，乙要比甲先出发几小时？</t>
  </si>
  <si>
    <t>某工厂去年的利润（总产值﹣总支出）为200万元，今年总产值比去年增加了20%，总支出比去年减少了10%，今年的利润为780万元，问去年的总产值是多少万元？</t>
  </si>
  <si>
    <t>暑假的一天，小刚到离家1200米的万州体育馆看球赛，进场时，发现门票还放在家中，此时离比赛还有24分钟，于是他立即步行（匀速）回家取票，在家取票用时5分钟，取到票后，他马上骑自行车（匀速）赶往体育馆。已知小刚骑自行车从家赶往体育馆比从体育馆步行回家所用时间少10分钟。骑自行车的速度是步行速度的3倍。小刚步行的速度（单位：米/分钟）是多少？</t>
  </si>
  <si>
    <t>在商品市场经常可以听到小贩的叫嚷声和顾客的讨价还价声：“10元一个的玩具赛车打八折（标价的80%），快来买啊！”“能不能再便宜2元？”，如果小贩真的让利(便宜)2元卖了，他还能获利20%，根据下列公式求一个玩具赛车进价是多少元？(公式：利润=进价*利润率=销售价*打折数-让利数-进价)</t>
  </si>
  <si>
    <t>哈佳高铁建设工程中，有一段6000米的路段由甲、乙两个工程队负责完成。已知甲工程队每天完成的工作量是乙工程队每天完成的工作量的2倍，且甲工程队单独完成此项工程比乙工程队单独完成此项工程少用30天。乙工程队每天完成100米.由于施工条件限制，每天只能一个工程队施工，但是工程指挥部仍然要求工期是50天，求甲工程队施工多少天？</t>
  </si>
  <si>
    <t>2018年的夏季特别炎热，某空调厂家研究决定多生产A、B、C三种型号的空调共2000台，其中A、B、C三种型号的空调多生产的数量比为1：6：3，问A型号的空调多生产多少台？</t>
  </si>
  <si>
    <t>A、B两地相距25千米，甲由A地出发骑自行车去B地，速度为10千米/h；乙1.5小时后由A地出发乘车也去B地，速度为40千米/h。甲出发几小时，乙追上甲？</t>
  </si>
  <si>
    <t>在2017年长春市旧城改造中，某工程队需要改造一段全长2400米的下水管道工程，为了减少施工对市民生活所造成的影响，施工队加快了工程进度，实际工作效率比原计划提高20%，结果提前8小时完成改造工程，求原计划每小时改造的长度。</t>
  </si>
  <si>
    <t>某工程，甲独做需12天完成，乙独做需8天完成，现由甲先做3天，乙再参加合做，求完成这项工程共用的时间。</t>
  </si>
  <si>
    <t>已知某项工程计划由甲队单独完成，到第3个工作日，乙队加入，已知乙队单独完成这项工程所需的时间是甲队单独完成这项工程所需时间的2倍少6天，最后比计划提前4天完成，请求出甲单独完成这项工程需多少天？</t>
  </si>
  <si>
    <t>某校九年级两个班各为玉树地震灾区捐款1800元。已知2班比1班人均捐款多4元，2班的人数比1班的人数少10%，九年级1班人均捐款多少元？</t>
  </si>
  <si>
    <t>某酒店客房部有3人间普通客房、2人间普通客房，收费标准为：3人间150元/间，2人间140元/间。为吸引游客，酒店实行团体入住五折优惠措施（即按原价的50%）。一个46人的旅游团优惠期间到该酒店入住，住了一些3人间普通客房和2人间普通客房，且每间客房正好住满。若这个旅游团一天共花去住宿费1310元，求这个旅游团住了3人间普通客房多少间？</t>
  </si>
  <si>
    <t>现有甲、乙两个体育用品商店出售乒乓球拍和乒乓球，球拍每块价格为48元，乒乓球每个价格为2元，已知甲店制定的优惠方法是买一块球拍送6个乒乓球，乙店按总价的90%收费，某球队需要的买球拍4块，乒乓球若干(不少于24个)。当购买多少个乒乓球时，两个商店的收费一样多？</t>
  </si>
  <si>
    <t>为改善生态环境，防止水土流失，2017年植树节前期某村计划在荒坡上种1200棵树，由于青年志愿者的支援，每天比原计划多种20%，结果提前5天完成任务，请问原计划每天种多少棵树？</t>
  </si>
  <si>
    <t>列方程解决下列问题。一艘船从甲码头到乙码头顺流而行，用了2小时；从乙码头返回甲码头逆流而行，用了2.5小时，已知水流的速度为3千米/时。求船在静水中的平均速度。</t>
  </si>
  <si>
    <t>王明和李丽是邻居，星期天他们两家人准备去郊外的湿地公园玩，早上两家人同时乘坐了两辆不同价格的出租车，王明家乘坐的是起步4公里10元，以后每公里收1.2元，李丽家乘坐的起步3公里8元，以后每公里收1.3元，两家人几乎同时到公园，付款后王明发现两家人的车费仅差1元，则两家住地离公园的路程是多少公里？</t>
  </si>
  <si>
    <t>A、B两地相距360千米，甲、乙两车分别沿同一条路线从A地出发驶往B地，已知甲车的速度为60千米/小时，乙车的速度为90千米/小时，甲车先出发1小时后乙车再出发，乙车到达B地后在原地等甲车。当乙车到达B地而甲车未到B地时，求乙车出发多长时间与甲车相距50千米？（结果保留两位小数）</t>
  </si>
  <si>
    <t>甲列车速度是60千米/h，乙列车速度是90千米/h。两列车都从某地出发，目的地距离出发点1000千米，甲列车先走2小时，问乙列车什么时候能追上甲列车？</t>
  </si>
  <si>
    <t>课外数学小组的女同学原来占全组人数的1/3，后来又有4个女同学加入，就占全组人数的1/2，问课外数学小组原来有多少个同学？</t>
  </si>
  <si>
    <t>甲、乙两人从A地同时出发去相距100千米的B地，甲的速度是乙的1.5倍，4小时后，乙与到达B地又立即回头与甲相遇，试求乙的速度。</t>
  </si>
  <si>
    <t>某人驾车从A地到B地，出发2小时后车子出了点毛病，耽搁了0.5小时修车，为了弥补耽搁的时间他将车速增加到原来的1.6倍，结果按时到达，已知A、B两地相距100千米，求某人原来驾车的速度。</t>
  </si>
  <si>
    <t>列方程（组）解下列问题：在《九章算术》中有“盈不足术”的问题，原文如下：今有共买物，人出八，盈三；人出七，不足四。问人数几何？大意为：现有一些人共同买一个物品，每人出8元，还盈余3元；每人出7元，则还差4元。问人数是多少？</t>
  </si>
  <si>
    <t>某市为鼓励市民节约用水，做出如下规定：用水量不超过10立方米，按照0.5元/立方米收费，10立方米以上每增加1立方米，按照1元/立方米收费，小明家9月份缴水费20元，那么他家9月份的实际用水量是多少立方米？</t>
  </si>
  <si>
    <t>A地至B地的高铁里程约为700千米，甲、乙两人从A地出发，分别乘坐“和谐号”高铁与“复兴号”高铁前往B地。已知“和谐号”的平均速度比“复兴号”的平均速度慢80千米/h，“和谐号”的行驶时间比“复兴号”的行驶时间多40%，“复兴号”的行驶时间为多少？</t>
  </si>
  <si>
    <t>某工程由甲、乙两队完成，甲队单独完成需16天，乙队单独完成需12天。如先由甲队做4天，然后两队合做，问再做几天后可完成工程的六分之五？</t>
  </si>
  <si>
    <t>我市某初中每天早上总是在规定时间打开学校大门，七年级同学小明每天早上同一时间从家到学校，周一早上他骑自行车以每小时12千米的速度到校，结果在校门口等了0.1小时才开门，周二早上他步行以每小时6千米的速度到校，结果校门已开了0.2小时，请解决以下问题：小明从家到学校的路程是多少千米？</t>
  </si>
  <si>
    <t>小张和同学相约“五一”节到离家2400米的电影院看电影，到电影院后，发现电影票忘带了，此时离电影开始还有25分钟，于是他跑步回家，拿到票后立刻找到一辆“共享单车”原路赶回电影院，已知小张骑车的时间比跑步的时间少用了4分钟，骑车的平均速度是跑步的平均速度的1.5倍。求小张跑步的平均速度。</t>
  </si>
  <si>
    <t>一个两位数，个位数字是2，如果将个位数字与十位数字互换，所得新数比原数小36。求原来两位数十位上的数值是多少？</t>
  </si>
  <si>
    <t>学校计划选购甲、乙两种图书作为“校园读书节”的奖品，已知甲种图书的单价是乙种图书单价的1.5倍，用600元单独购买甲种图书的册数比单独购买乙种图书要少10册，求乙种图书的单价。</t>
  </si>
  <si>
    <t>列方程解应用题：足球比赛的计分规则为：胜一场得3分，平一场得1分，输一场得0分，恒大淘宝足球队在2017赛季共比赛30场，输掉6场比赛，得64分，这支足球队在2017赛季共胜多少场？</t>
  </si>
  <si>
    <t>小聪和小明假期到服装厂参加社会实践活动，设计每1平方米布裁剪成衣身2片或裁剪成衣袖3个，且1片衣身和2个衣袖恰好做成一件衣服，为了充分利用材料，要求做好的衣身和衣袖正好配套。现有21平方米的布，问最多能做多少件衣服？</t>
  </si>
  <si>
    <t>小丽和爸爸进行1200米竞走比赛，爸爸的速度是小丽的1.5倍，小丽走完全程比爸爸多用5分钟，小丽每分钟走多少米？</t>
  </si>
  <si>
    <t>刘阿姨到超市购买大米，第一次按原价购买，用了90元，几天后，遇上这种大米8折出售，她用120元又买了一些，两次一共购买了40kg。求这种大米的原价。</t>
  </si>
  <si>
    <t>某校计划组织师生共300人参加一次大型公益活动，如果利用6辆大客车和5辆小客车恰好全部坐满。已知每辆大客车的乘客座位数比小客车多17个，求每辆小客车的乘客座位数。</t>
  </si>
  <si>
    <t>A，B两地相距450千米，甲、乙两车分别从A，B两地同时出发，相向而行，已知甲车速度为120千米/小时，乙车速度为80千米/小时，假设两车未相遇，则经过多少小时两车相距50千米。</t>
  </si>
  <si>
    <t>用总长为7.2米的铝合金制作“日”字形窗框（3个宽2条长），已知窗的高比宽多0.6米，求窗的高。</t>
  </si>
  <si>
    <t>为了打造靓丽风景线，某市旅游局打算将一段长1800米的河道整治任务交由甲、乙两个工程队来完成。已知甲工程队每天整治60米，乙工程队每天整治40米。若乙工程队先整治河道10天，甲工程队再参加两个工程队一起来完成剩余河道整治任务，求整段河道整治任务共用时多少天？</t>
  </si>
  <si>
    <t>启秀中学南校区扩建，学校安排一批工人去除草两片杂草地一大一小，大的面积是小的2倍，所有人先在大的草地上除草半天，午后分为两组，一半人继续留在大的草地上割草，直到下午收工时恰好割完，另一半人去小的草地割，下午收工时还剩下一小块没割，这一小块次日派一个人去割，割完恰好花了一天时间，这批割草的工人每人每天除草量为1，间这批割草的工人一共多少人？</t>
  </si>
  <si>
    <t>张老师驾驶汽车从天义出发到乌丹参加会议，已知两地距离为180千米，出发后第1小时内按照原计划的速度匀速行驶，1小时后以原来速度的1.5倍匀速行驶，这样比原计划提前2/3小时到达目的地。求前一小时的行驶速度。</t>
  </si>
  <si>
    <t>王老师驾轿车从舟山出发，上高速公路途经舟山跨海大桥和杭州湾跨海大桥到嘉兴下高速，其间用了4.5小时；返回时平均速度提高了20千米/小时，比去时少用了1小时回到舟山。两座跨海大桥的长度及过桥费见表：大桥名称:舟山跨海大桥:大桥长度:48千米,过桥费:100元;大桥名称:杭州湾跨海大桥:大桥长度:36千米,过桥费:80元;我省交通部门规定：轿车的高速公路通行费w(元)的计算方法为：w=am+b+5，其中a元/(千米)为高速公路里程费，m(千米)为高速公路里程数(不包括跨海大桥长)，b(元)为跨海大桥过桥费。若王老师从舟山到嘉兴所花的高速公路通行费为277.4元，求轿车的高速公路里程费a。</t>
  </si>
  <si>
    <t>元旦期间，某商场用1400元购进了甲、乙两种商品，共100件，进价分别是18元、10元。商场搞促销活动，若同时购买甲、乙两种商品各1件，可享受标价的8折优惠，此时这两种商品的利润率是10%，求这两种商品的标价总共多少元？</t>
  </si>
  <si>
    <t>列方程解应用题.某商店用2000元购进一批小学生书包，出售后发现供不应求，商店又购进第二批同样的书包，所购数量是第一批购进数量的3倍，但单价贵了2元，结果购买第二批书包用了6600元。请求出第一批每只书包的进价.</t>
  </si>
  <si>
    <t>一元一次方程的应用——方案选择</t>
  </si>
  <si>
    <t>甲、乙两家体育用品商店出售同样的乒乓球拍和乒乓球，乒乓球拍每副定价30元，乒乓球每盒定价5元，现两家商店搞促销活动，甲店：每买一副球拍赠一盒乒乓球；乙店：按定价的9折优惠，某班级需购球拍4副，乒乓球若干盒(不少于4盒)。购买几盒乒乓球去两家商店付款金额一样？</t>
  </si>
  <si>
    <t>红红开车从营口到盘锦奶奶家去，她去时因有事要办经过外环公路，全程84千米，返回时经过辽河大桥，全程45千米，红红开车去时的平均速度是返回的1.2倍，所用时间却比返回时多1/3小时，求红红返回时的车速。</t>
  </si>
  <si>
    <t>2014年11月11日，阿里巴巴销售额达到571亿，比上一年同日增长63.1%，其中京东商城推出一款大衣，标价1000元，平常一律九折出售，但“双11”当天该款大衣打6.5折出售。双11当天该款大衣共销售了60件。问2013年11月11日当天阿里巴巴销售额为多少（精确到亿元）？</t>
  </si>
  <si>
    <t>某品牌商品，按标价八折(80%)出售，仍可获得10%的利润。若该商品标价为275元，则商品的进价为多少元？</t>
  </si>
  <si>
    <t>某服装店因为换季更新，采购了一批新服装，有、两种款式共100件，花费了6600元，已知种款式单价是80元/件，种款式的单价是40元/件.求A种款式的服装采购了多少件？</t>
  </si>
  <si>
    <t>有一笔钱，可以买甲种物品120件，或可以买乙种物品80件，现用这笔钱买了甲、乙两种物品共90件，问甲物品买了多少件？</t>
  </si>
  <si>
    <t>有9人14天完成了一件工作的3/5，而剩下的工作要在4天内完成，则需增加的人数是多少人？</t>
  </si>
  <si>
    <t>将若干枚棋子平均分成三堆(每堆至少2枚)，分别放在左边、中间、右边，并按如下顺序进行操作：第1次：从右边一堆中拿出2枚棋子放入中间一堆；第2次：从左边一堆中拿出1枚棋子放入中间一堆；第3次：从中间一堆中拿出几枚棋子放入右边一堆，并使右边一堆的棋子数为最初的2倍。操作结束后，若右边一堆比左边一堆多15枚棋子，问共有多少枚棋子？</t>
  </si>
  <si>
    <t>为实现区域教育均衡发展，我区计划对M，N两类薄弱学校全部进行改造。已知改造1所M类学校和2所N类学校共需资金230万元；改造2所M类学校和2所N类学校共需资金205万元。问改造一所M类学校需要多少万元的资金？</t>
  </si>
  <si>
    <t>列方程解应用题：某商场用80000元购进一批新款衬衫，上架后很快销售一空，商场又紧急购进第二批这种衬衫，数量是第一次的2倍，但进价涨了4元/件，结果共用去176000万元。该商场第一批购进衬衫多少件？</t>
  </si>
  <si>
    <t>甲、乙两人在400米长的环形跑道上跑步，甲分钟跑240米，乙每分钟跑200米，二人同时出发，若背向跑，几分钟后相遇？</t>
  </si>
  <si>
    <t>某同学在A、B两家超市发现他看中的衣服的单价相同，书包的单价也相同。衣服和书包单价之和是452元，且衣服的单价是书包单价的4倍少8元。求该同学看中的书包的单价是多少元？</t>
  </si>
  <si>
    <t>甘蔗富含大量铁、钙、锌等人体必需的微量元素，素有“补血果”的美称，是冬季热销的水果之一，为此，某水果商家12月份第一次用600元购进云南甘蔗若干千克，销售完后，他第二次又用600元购进该甘蔗，但这次每千克的进价比第一次的进价提高了20%，所购进甘蔗的数量比第一次少了25千克。求该商家第一次购买云南甘蔗的进价是每千克多少元？</t>
  </si>
  <si>
    <t>某车间每天能生产甲种零件120个或乙种零件100个，甲、乙两种零件分别取2个和1个才能配成一套，要在80内生产最多的成套产品，则甲种零件应生产多少天？</t>
  </si>
  <si>
    <t>小明的爸爸为了给他筹备上高中的费用，在银行同时用两种方式共存了4000元钱。第一种，一年期存取，共反复存了3次，每次存款数都相同，这种存款银行利率为年息2.25%；第二种，三年期存取，这种存款银行利率为年息2.70%。三年后同时取出共得利息303.75元。问小明的爸爸一年期存入了多少元？</t>
  </si>
  <si>
    <t>赵老师为了响应市政府“绿色出行”的号召，上下班由自驾车方式改为骑自行车方式。已知赵老师家距学校20千米，上下班高峰时段，自驾车的速度是自行车速度的2倍，骑自行车所用时间比自驾车所用时间多5/9小时。求自行车速度是多少？</t>
  </si>
  <si>
    <t>某校为开展乒乓球运动，花钱买了一些乒乓球运动器材，其中花钱买的球网、球拍和乒乓球总价钱是1320元，这三样器材所花钱之比是3：6：2，那么购买球网的钱是多少元？</t>
  </si>
  <si>
    <t>为解决偏远山区的学生饮水问题，某中学学生会号召同学们自愿捐款。已知七年级捐款总额为4800元，八年级捐款总额为5000元，八年级捐款人数比七年级多20人，而且两个年级人均捐款数相等，请问七年级捐款的人数为多少？</t>
  </si>
  <si>
    <t>某超市预测某饮料有发展前途，用1200元购进一批饮料，面市后果然供不应求，又用4500元购进这批饮料，第二批饮料的数量是第一批的3倍，但单价比第一批贵2元。第一批饮料进货单价多少元？</t>
  </si>
  <si>
    <t>某校进行校园卫生大扫除，七年级一班原计划分成两个小组，第一组26人打扫大操场，第二组22人打扫班级的包干卫生区。后来根据工作实际需要，要使第二组人数是第一组人数的2倍，那么应从第一组调多少人到第二组？求出应从第一组调多少人到第二组？</t>
  </si>
  <si>
    <t>一列火车匀速行驶，经过一条长300m的隧道需要20s的时间。隧道的顶上有一盏灯，垂直向下发光，灯光照在火车上的时间是10s。求这列火车的长度。</t>
  </si>
  <si>
    <t>以绳测井。若将绳三折测之，绳多五尺；若将绳四折测之，绳多一尺。绳长、井深各几何？题目大意：用绳子测水井深度，如果将绳子折成三等份，一份绳长比井深多5尺；如果将绳子折成四等份，一份绳长比井深多1尺。问井深是多少尺？</t>
  </si>
  <si>
    <t>育才羽毛球队需要购买10支羽毛球拍和x盒羽毛球（x＞10），羽毛球拍市场价为150元/支，羽毛球为30元/盒，滔博运动店的优惠方案为：所有商品九折，劲浪运动店的优惠方案为：买1支羽毛球拍动1盒羽毛球，其余原价销售。请计算说明买多少羽毛球时，到两运动店购买一样省钱。</t>
  </si>
  <si>
    <t>列一元一次方程解应用题某校学生自己动手整修操场，如果让七年级学生单独工作，需要7.5小时完成；如果让八年级学生单独工作，需要5小时完成，如果让七、八年级学生一起工作1小时，再由八年级学生单独完成剩余部分，共需要多少小时完成？</t>
  </si>
  <si>
    <t>国家规定个人发表文章、出版图书所得稿费的纳税计算方法是：稿费不高于800元的不纳税；稿费高于800元，而低于4000元的应缴纳超过800元的那部分稿费的14%的税；稿费为4000元或高于4000元的应缴纳全部稿费的11%的税；若王老师的税后实际所得为7120元，那么他的稿费是多少元？</t>
  </si>
  <si>
    <t>中国移动开设两种通讯业务，全球通用户，先缴50元月租费，每通话一分钟再付0.4元，神州行用户，不缴月租费，每通话一分钟，付话费0.6元。一个月通话时间为多少分钟，两种通讯方式费用相同？（列方程计算）</t>
  </si>
  <si>
    <t>甲、乙两人相距5千米，分别以2千米/时，4千米/时的速度相向而行，同时一只小狗以12千米/时的速度从甲处奔向乙处，遇到乙后立即掉头奔向甲，遇甲后又奔向乙…直到甲、乙相遇，求甲、乙两人几小时相遇。（用方程解）</t>
  </si>
  <si>
    <t>为了更好的宣传低碳环保理念，天河区工会计划开展全民“绿道健步行”活动，甲、乙两人积极响应，相约在一条东西走向的笔直绿道上锻炼。两人从同一个地点同时出发，甲向东行进，乙向西行进，行进10分钟后，甲到达A处，乙到达B处，A、B两处相距1400米。已知甲、乙两人的速度之比是4：3。求甲的行进速度</t>
  </si>
  <si>
    <t>某校为了更好地开展球类运动，体育组决定用1600元购进足球8个和篮球14个，并且篮球的单价比足球的单价多20元，请解答下列问题：求出足球的单价</t>
  </si>
  <si>
    <t>列方程解应用题十一期间，张老师从北京出发走京津高速到天津.去时在京津高速上用了1.2小时，返回时在京津高速上比去时多用0.3小时，返回时平均速度降低了22千米/小时.求张老师去时在京津高速上开车的平均速度.</t>
  </si>
  <si>
    <t>A、B两地相距560千米，甲、乙两车分别从A、B两地相向而行，甲车先以每小时120千米的速度出发1小时后，乙车出发，若乙车出发2小时后，两车相遇，并以各自的速度继续匀速行驶。乙车出发多长时间后两车相距400千米（相遇后）？（结果保留两位小数）</t>
  </si>
  <si>
    <t>一家商店将某种服装按成本价提高40%标价，又以8折优惠卖出，结果每件服装仍可获利15元，则这种服装每件的成本价是多少元？</t>
  </si>
  <si>
    <t>某水果店购进甲乙两种水果，销售过程中发现甲种水果比乙种水果销售量大，店主决定将乙种水果降价1元促销，降价后乙种水果的售价是2元/斤.降价后30元可购买乙种水果的斤数是原来购买乙种水果斤数的1.5倍。根据销售情况，水果店用900元的资金再次购进两种水果共500斤，甲种水果进价为2元/斤，乙种水果进价为1.5元/斤，问购进乙种水果多少斤？</t>
  </si>
  <si>
    <t>某纺织厂收购某种特色棉花，若直接转卖这种特色棉花，则每吨可获得的利润为800元，若经过B级加工再转卖，则每吨可获得的利润为3600元；若经过A级加工再转卖，则每吨可获得的利润为6000元。已知该纺织厂对棉花进行B级加工，每天可加工16吨，进行A级加工，每天可加工6吨，且这两种等级的加工不能同时进行。若该纺织厂收购了120吨这种特色棉花，决定15天内加工完，一部分进行A级加工，另一部分进行B级加工，恰好15天完成。则A级加工应该多少天？</t>
  </si>
  <si>
    <t>已知A、B两地相距48千米，甲骑自行车每小时走18千米，乙步行每小时走6千米，甲乙两人分别A、B两地同时出发。同向而行，开始时乙在前，经过多少小时甲追上乙？</t>
  </si>
  <si>
    <t>一位打工者来到一个新城市，想租一套房子，A家房主的条件是：先交1000元，每个月租金680元，B家房主的条件是：每月租金780元，这位打工者住多长时间时，租两家的房子费用都一样？</t>
  </si>
  <si>
    <t>在徐汇区开展“创建全国文明城区”期间，某工程队承担了某小区900米长的污水管道改造任务，工程队在改造完180米管道后，引进了新设备，每天的工作效率比原来提高了20%，结果共用30天完成了任务，问引进新设备后工程队每天改造管道多少米？</t>
  </si>
  <si>
    <t>一元一次方程的应用——比例分配</t>
  </si>
  <si>
    <t>某地实施农村义务教育学校营养计划——“蛋奶工程”.该地农村小学每份营养餐的标准是质量为300g，蛋白质含量为8%，包括一盒牛奶、一包饼干和一个鸡蛋。已知牛奶的蛋白质含量为5%，饼干的蛋白质含量为12.5%，鸡蛋的蛋白质含量为15%，一个鸡蛋的质量为60g.每份营养餐中牛奶的质量为多少克？</t>
  </si>
  <si>
    <t>实际问题与一元一次方程</t>
  </si>
  <si>
    <t>某城市与省会城市相距390千米，客车与轿车分别从该城市和省会城市同时出发，相向而行。已知客车每小时行80千米，轿车每小时行100千米，假设两车已经相遇，问经过多少小时后，客车与轿车相距30千米。</t>
  </si>
  <si>
    <t>解一元一次方程（一）——合并同类项与移项</t>
  </si>
  <si>
    <t>包装厂有工人42人，每个工人平均每小时可以生产圆形铁片60片或长方形铁片40片，每2张圆形铁片和一张长方形铁片可配成一个密封圆桶，问安排多少工人生成圆形铁片能正好配套？</t>
  </si>
  <si>
    <t>一条环形的跑道长800米，甲练习骑自行车平均每分钟行500米，乙练习赛跑，平均每分钟跑200米，两人同时同地出发。若两人背向而行，他们经过多长时间首次相遇？</t>
  </si>
  <si>
    <t>据电力部门统计，每天8：00至21：00是用点高峰期，简称“峰时”，21：00至次日8：00是用电低谷期，简称“谷时”。为了缓解供电需求紧张的矛盾，我市电力部门拟逐步统一换装“峰谷分时”电表，对用电实行“峰谷分时电价”新政策，具体见下表：换表前：电价：每度0.52元；换表后：峰时(8：00-21：00)，电价：每度0.55元，谷时(21：00-8：00)，电价：每度0.30元小明家对换表后最初使用的95度电进行测算，经测算比换表前使用95度电节约了5.9元，问小明家使用“峰时”电是多少度？</t>
  </si>
  <si>
    <t>煤气公司一工人检修一条长540米的煤气管道，计划用若干小时完成，在实际检修过程中，每小时检修的管道长度是原计划的1.5倍，结果提前3小时完成任务，求该工人原计划每小时检修煤气管道多少米？</t>
  </si>
  <si>
    <t>老王把10000元按一年期定期储蓄存入银行，到期支取时，扣去利息税后实得本利和为10160元。已知利息税税率为20%，问当时一年期定期储蓄的年利率为多少？</t>
  </si>
  <si>
    <t>、乙两家超市以相同的价格出售同样的商品，为了吸引顾客，各自推出不同的优惠方案：在甲超市累计购买商品超出300元之后，超出部分按原价8折优惠；在乙超市累计购买商品超出200元之后，超出部分按原价8.5折优惠.档购买多少元商品的时候在两家超市的付款一样？</t>
  </si>
  <si>
    <t>台风“天鸽”登录珠海，距离珠海市180千米处的某武警部队立即派车前往救灾，按原计划速度匀速行驶60千米后，接上级通知，需紧急赶往目的地。于是以原速度的1.2倍匀速行驶，结果比原计划提前12分钟到达，求原计划的行驶速度。</t>
  </si>
  <si>
    <t>某文具店二月份销售各种水笔420支，三月份销售各种水笔的支数比二月份增长了10%，那么该文具店三月份销售各种水笔多少支？</t>
  </si>
  <si>
    <t>已知在月历中竖列上三个数的和是45，则这三个数中最小的数是多少？</t>
  </si>
  <si>
    <t>某小区在规划设计时，准备在2幢楼房之间，设置一块周长为120米的长方形绿地，并且长比宽多10米。宽为多少米？</t>
  </si>
  <si>
    <t>甲、乙两家电器商场以同样的价格出售同样的电器，但各自推出的优惠方案不同，甲商场规定：凡超过4000元的电器，超出的金额按80%收取；乙商场规定：凡超过3000元的电器，超出的金额按90%收取，某顾客购买的电器价格是是多少时，在甲、乙两家商场购买所付的费用相同？</t>
  </si>
  <si>
    <t>一元一次不等式组的应用</t>
  </si>
  <si>
    <t>在某县美化城市工程招投标中，有甲、乙两个工程队投标经测算：甲队单独完成这项工程需要30天，若由甲队先做10天，剩下的工程由甲、乙合作12天可完成。问：乙队单独完成这项工程需要多少天？</t>
  </si>
  <si>
    <t>学生礼堂有长凳，如果每条坐5人，那么差8条，如果每条坐6人，那么还空2条，求礼堂的凳子数。</t>
  </si>
  <si>
    <t>为了打造铁力旅游景点，市旅游局打算将依吉密河中一段长1800米的河道整治任务交由甲、乙两个工程队来完成。已知，甲工程队每天整治60米，乙工程队每天整治40米。若甲、乙两个工程队接龙来完成，共用时35天，求甲工程队整治多长的河道？</t>
  </si>
  <si>
    <t>为迎接省运会在宝应召开，城市园林绿化公司决定对城南生态新城新建道路绿化植树960棵。根据上级要求为了加快工程进度，决定抽调一批青年志愿者支援，实际每天植树的棵树比原计划多1/3，结果提前4天完成任务。原计划每天植树多少棵？</t>
  </si>
  <si>
    <t>某班计划买一些乒乓球和乒乓球拍，现了解情况如下：甲、乙两家商店出售两种同样品牌的乒乓球和乒乓球拍，乒乓球拍每副定价100元，乒乓球每盒定价25元。经洽谈后，甲店每买一副球拍赠一盒乒乓球，乙店全部按定价的9折优惠。该班需球拍5副，乒乓球若干盒(不少于5盒)。当购买乒乓球多少盒时，两种优惠办法付款一样？</t>
  </si>
  <si>
    <t>早晨，小明步行到离家900米的学校去上学，到学校时发现眼镜忘在家中，于是他立即按原路步行回家，拿到眼镜后立即按原路骑自行车返回学校。已知小明步行从学校到家所用的时间比他骑自行车从家到学校所用的时间多10分钟，小明骑自行车速度是步行速度的3倍。求小明步行速度（单位：米/分）是多少？</t>
  </si>
  <si>
    <t>某区中学生足球赛共赛8轮（即每队均参赛8场），胜一场得3分，平一场得1分，输一场得0分，在这次足球赛中，猛虎足球队踢平的场数是所负场数的2倍，共得17分，则该队负了几场？</t>
  </si>
  <si>
    <t>某公司要生产若干件新产品，需要加工后才能投放市场。现有红星和巨星两个工厂都想加工这批产品，已知红星厂单独加工这批产品比巨星厂单独加工多用20天，红星厂每天可以加工16个，巨星厂每天可以加工24个。公司需付红星厂每天加工费80元，巨星厂每天加工费120元。这家公司要生产多少件新产品？</t>
  </si>
  <si>
    <t>宝安区某街道对长为20千米的路段进行排水管道改造后，需对该段路面全部重新进行修整，甲、乙两个工程队将参与施工，已知甲队每天的工作效率是乙队的2倍，若由甲、乙两队分别单独修整长为800米的路面，甲队比乙队少用5天。求甲队每天可以修整路面多少米？</t>
  </si>
  <si>
    <t>在军运会期间，七年级1班志愿者小组准备利用午休时间把校门口的自行车摆放整齐，小组长进行分工时（小组长也参与摆放）发现：如果每人摆放10辆自行车，则还剩6辆自行车需要最后再摆；如果每人摆放12辆自行车，则有一名同学少摆放6辆自行车。请问：这个志愿者小组有几名同学？</t>
  </si>
  <si>
    <t>某市大市场进行高端的家用电器销售，若按标价的八折销售该电器一件，则可获利400元，其利润率为20%。求：该电器的进价是多少？</t>
  </si>
  <si>
    <t>一件商品按成本价提高20%标价，然后打九折出售，此时仍可获利8元，则该商品的成本价为多少元？</t>
  </si>
  <si>
    <t>初一(3)班男女生人数的比为5：4，如果男生人数为35人，那么女生人数是多少。</t>
  </si>
  <si>
    <t>为了发展农村经济，政府决定从2011年起，鼓励农民种植果树。并出台了一项奖励措施：在种植过程中，每一年新增面积达到10亩的农户，可得到1500元生活补贴，且每超出一亩，政府还给予m元的奖励，另外种植果树后的土地从下一年起，果实即可出售，且平均每亩可获得200元的收入。如表是某农户头两年种植果树每年获得总收入情况：年份：2011，新增亩数：20，总收入：2400元；年份：2012，新增亩数：26，总收入：6940元；(提示：年总收入=生活补贴+政府奖励+出售果实收入)根据以上提供的信息求m的值。</t>
  </si>
  <si>
    <t>中国的高铁技术已经然走在了世界前列，2018年的“复兴号”高铁列车较“和谐号”速度增加每小时70公里。上海火车站到北京站铁路距离约为1400公里，如果选择“复兴号”高铁，全程可以少用1小时，求上海火车站到北京火车站的“复兴号”运行时间。</t>
  </si>
  <si>
    <t>李明同学早上骑自行车上学，中途因道路施工需步行一段路，到学校共用时18分钟。他骑自行车的平均速度是300米/分钟，步行的平均速度是120米/分钟，他家离学校的距离是4500米。李明上学时骑自行车的时间需要多久？</t>
  </si>
  <si>
    <t>一件工作，甲单独完成需5小时，乙单独完成需3小时，先由甲，乙两人合做1小时，再由乙单独完成剩余任务，还需多少小时完成任务？</t>
  </si>
  <si>
    <t>学校组织植树活动，已知在甲处植树的有14人，在乙处植树的有6人，现调70人去支援。若要使在甲处植树的人数是在乙处植树人数的2倍，问应调往甲处多少人？</t>
  </si>
  <si>
    <t>某项工程如果由乙单独完成比甲单独完成多用6天；如果甲、乙先合做4天后，再由乙单独完成，那么乙一共所用的天数刚好和甲单独完成工程所用的天数相等。求甲单独完成全部工程所用的时间.</t>
  </si>
  <si>
    <t>一个车队共有20辆小轿车，正以每分10米的速度在一条笔直的街道上匀速行驶，行驶时车与车的间隔均为5.4米，甲停在路边等人，他发现该车队从第1辆车的车头到最后一辆的车尾经过自己身边共用了20秒的时间，假设每辆车的车长均为4.87米。若乙在街道一侧的人行道上与车队同向而行，速度为v米/秒，当车队的第一辆车的车头从他身边经过了15秒钟时，为了躲避一只小狗，他突然以3v米/秒的速度向前跑，这样从第一辆车的车头到最后一辆车的车尾经过他身边共用了35秒，求v的值。</t>
  </si>
  <si>
    <t>哈市某段地铁工程由甲、乙两工程队合作30天可完成，若单独施工，甲工程队比乙工程队多用45天。求乙工程队单独完成此项工程需要多少天？</t>
  </si>
  <si>
    <t>甲、乙两家批发商出售同样品牌的茶壶和茶杯，定价相同，茶壶每把30元，茶杯每只5元。两家都在进行优惠销售：甲店买一送一大酬宾（买一把茶壶赠送茶杯一只）；乙店全场9折优惠（按实际价格的90%收费）。某茶具店需茶壶5把，茶杯若干只（不少于5只）。试求出当茶具店购买多少只茶杯时，在两家商店购买所需付的款一样多？</t>
  </si>
  <si>
    <t>京沈高铁赤峰至喀左段于2016年开工建设，天义镇路基桥墩建设初具规模，预计2019年运营，从赤峰出发经宁城至北京500公里，高铁运行速度将是现行普通客车平均速度的5倍，预计开通后，从赤峰出发，某高铁客运专列比普通客车晚3小时开出，但比普通客车早5小时到达北京，求两车的运行速度。</t>
  </si>
  <si>
    <t>甲、乙两人从相距12千米的A、B两地同时同向而行，甲在乙前面，已知甲步行，乙骑自行车，乙的速度比甲的速度的2倍多3千米/小时，若出发1.5小时后两人相遇。求甲的速度</t>
  </si>
  <si>
    <t>甲组有37人，乙组有23人，现需要从甲乙两组调出相同的人去做其他工作，若使甲组剩下的人数是乙组剩下人数的2倍，则需要从甲组调出多少人？</t>
  </si>
  <si>
    <t>轮船沿江从A港顺流行驶到B港，比从B港返回A港少用3小时，若船速为26千米/小时，水速为2千米/时，则A港和B港相距多少千米。</t>
  </si>
  <si>
    <t>小刚、小强两人练习赛跑，小刚每秒跑7米，小强每秒跑6.5米，小刚让小强先跑5米，小刚多久追上小强？</t>
  </si>
  <si>
    <t>列方程解应用题：端午节期间，苗苗一家去采摘樱桃，一号品种樱桃采摘价格为60元/千克，二号品种樱桃采摘价格为50元/千克。若苗苗一家采摘两种樱桃共10千克，共消费540元，那么他们采摘一号樱桃多少千克？</t>
  </si>
  <si>
    <t>A,B两地相距230千米，甲队从A地出发2小时后，乙队从B地出发与甲相向而行，乙队出发20小时后相遇，已知乙的速度比甲的速度每小时快1千米，求甲的速度是多少？</t>
  </si>
  <si>
    <t>海南环岛高速公路（含东线和西线）全长约600千米，一辆小汽车和一辆客车同时从海口出发，小汽车沿东线高速环岛，客车沿西线高速环岛，经过3小时后两车相遇，若小汽车比客车每小时多行驶40千米，求客车的速度。</t>
  </si>
  <si>
    <t>甲、乙两站相距360千米，一列快车从甲站开出，每小时行160千米，一列慢车从乙站开出，每小时行80千米。两车同向而行，快车在慢车的后面，且慢车提前0.5小时出发，经过多少小时后快车追上慢车？</t>
  </si>
  <si>
    <t>一个商店把彩电按标价的九折出售，仍可获利20%，若该彩电的进价是2400元，则彩电标价是多少元？</t>
  </si>
  <si>
    <t>某班准备购置一些乒乓球和乒乓球拍，班主任李老师安排小明和小强分别到甲、乙两家商店咨询了同样品牌的乒乓球和乒乓球拍的价格，下面是小明、小强和李老师的对话。小明：甲商店乒乓球拍每副定价30元，乒乓球每盒定价5元，每买一副乒乓球拍可以赠送一盒乒乓球。小强：乙商店乒乓球和乒乓球拍的定价与甲商店一样，但乙商店可以全部按定价的九折优惠。李老师：我们班需要乒乓球拍5副，乒乓球不少于5盒。根据以上对话回答下列问题：当购置的乒乓球为多少盒时，甲、乙两家商店所需费用一样多？</t>
  </si>
  <si>
    <t>某单位向一所希望小学赠送了1080件文具，现用A、B两种不同的包装箱进行包装，已知每个B型包装箱包装文具的件数是每个A型包装箱包装文具件数的1.5倍，单独使用B型包装箱比单独使用A型包装箱可少用12个，请问A型包装箱每个能装多少件文具？</t>
  </si>
  <si>
    <t>为方便市民出行,减轻城市中心交通压力,某市正在修建贯穿城市东西、南北的地铁1号线、地铁2号线一期工程.已知修建地铁1号线23千米和2号线一期18千米共需投资310.6亿元；若2号线一期每千米的平均造价比1号线每千米的平均造价多0.4亿元.求1号线和每千米的平均造价是多少亿元?</t>
  </si>
  <si>
    <t>A、B两地相距45千米，甲汽车以每小时50千米的速度从A地出发，乙汽车以每小时40千米的速度从B地出发.若两车同时出发，相向而行，问假设两车已经相遇了，经过几小时两车相距30千米？</t>
  </si>
  <si>
    <t>某电信公司按以下规定收取手机流量费：若每月流量不超过50MB，则流量按0.1元/MB收费；若超过50MB，则超过部分按0.2元/MB收费。如果某手机用户在某月的平均流量费为0.15元/MB，那么这个月他共用了多少流量？</t>
  </si>
  <si>
    <t>甲乙两站相距408千米，一列慢车从甲站开出，每小时行驶72千米，一列快车从乙站开出，每小时行驶96千米。两车同时背向而行，几小时后相距660千米？</t>
  </si>
  <si>
    <t>某蔬菜公司的一种绿色蔬菜，若在市场上直接销售，每吨利润为1000元，经粗加工后销售，每吨利润可达4500元，经精加工后销售，每吨利润涨至7500元，当地一家公司收购这种蔬菜140吨，该公司的加工生产能力是：如果对蔬菜进行粗加工，每天可加工16吨，如果进行精加工，每天可加工6吨，但两种加工方式不能同时进行，受季度等条件限制，公司必须在15天将这批蔬菜全部销售或加工完毕，将部分蔬菜进行精加工，其余蔬菜进行粗加工，并恰好15天完成。求精加工多少天？</t>
  </si>
  <si>
    <t>天然气已经基本代替液化气进入到我们的生活中，兴化市对市民使用天然气的收费情况作了如下规定：制定了每户每月的标准用量，不超过标准用量的部分按每立方米2元收费，超过部分按每立方米4元收费。该市某户居民10月份用量为20立方米，需缴费60元，则兴化市制定的每户每月的标准用量是多少立方米？</t>
  </si>
  <si>
    <t>某电视台组织知识竞赛，共设20道选择题，每题必答，答对一题得5分答错一题扣1分。参赛者小婷得76分，她答对了几道题</t>
  </si>
  <si>
    <t>师徒两人分别加工1200个零件，已知师傅每天加工零件的个数是徒弟每天加工零件个数的1.5倍，结果师傅比徒弟少用10天完成，求徒弟每天加工多少个零件？</t>
  </si>
  <si>
    <t>从泰州乘”K”字头列车A、“T”字头列车B都可直达南京，已知A车的平均速度为55千米/h，B车的平均速度为A车的15/11倍，且行驶时间比A车少0.8小时。若两车以各自的平均速度分别从泰州、南京同时相向而行，假设两车已经相遇，问经过多少时间两车相距95千米？</t>
  </si>
  <si>
    <t>为顺利通过“国家文明城市”验收，东营市政府拟对城区部分路段的人行道地砖、绿化带、排水管等公用设施全面更新改造，根据市政建设的需要，需在40天内完成工程。现有甲、乙两个工程队有意承包这项工程，经调查知道，乙工程队单独完成此项工程的时间是甲工程队单独完成此项工程时间的2倍，若甲、乙两工程队合作只需10天完成。甲工程队单独完成此项工程需多少天？</t>
  </si>
  <si>
    <t>光华中学在运动会期间准备为参加前导队的同学购买服装（前导队包括花束队、彩旗   队和国旗队）其中花束队有60名同学，彩旗队有30名同学，国旗队有10名同学，已知花束队的服装与彩旗队的服装单价比为4:3，国旗队的服装单价比彩旗队的服装单价多5元。若购买花束队和国旗队的服装一共花去6800元，求花束队服装的单价是多少元？</t>
  </si>
  <si>
    <t>在日历表上可以用一个矩形圈出3×3个位置的9个数(如6，7，8，13，14，15，20，21，22)。若圈出的9个数中，最大数与最小数的和为46，那么最小数为多少？</t>
  </si>
  <si>
    <t>为庆祝元旦，学校准备举行七年级合唱比赛，现由各班班长统一购买服装，服装每套60元，服装制造商给出的优惠方案是：50套以上的团购有两种优惠方案可选择，方案一：全部服装可打8折；方案二：若打9折，有7套可免费。七年（2）班班长思考一会儿，说：“我们班无论选择哪种方案，要付的钱是一样的。”你知道七年（2）班有多少人吗？</t>
  </si>
  <si>
    <t>用白铁皮做罐头盒，每张白铁皮可制盒身16个或盒底64个；一个盒身与2个盒底配成一套罐头盒。现有150张白铁皮；求用多少张白铁皮制盒身可以制成整套的罐头盒？</t>
  </si>
  <si>
    <t>一批学生乘汽车去游览红色娘子军纪念馆。如果每辆汽乘48人，那么还多4人；如果每辆汽车乘50人，那么还有6个空位，求汽车有多少？</t>
  </si>
  <si>
    <t>某学校计划今年的体育节进行跳绳比赛，为此学校准备购置长、短两种跳绳若干条，若花费480元购买的长眺绳的数量是花费480元购买的短跳绳的数量的3/4，已知每条长跳绳比每条短跳绳贵4元，求购买一条长跳绳需多少元？</t>
  </si>
  <si>
    <t>小张从家出发去距离9千米的婆婆家，他骑自行车前往比乘汽车多用1/3小时，乘汽车的平均速度是骑自行车的3倍，求小张骑自行车的平均速度。</t>
  </si>
  <si>
    <t>某人驾车从A地到B地，出发2小时后，车子出了点毛病，耽搁0.5小时修好了车，为了弥补耽搁的时间，他将车速增加到原来的1.6倍，结果按时到达。已知A、B两地的距离为100千米，求某人原来驾车的速度。</t>
  </si>
  <si>
    <t>2019年，祖国喜迎70大庆，振华中学举行了“我爱祖国”征文活动，活动中七年级和八年级共收到征文108篇，且七年级收到的征文篇数比八年级收到的征文篇数的1/2多6篇，求八年级收到的征文有多少篇？</t>
  </si>
  <si>
    <t>暑假期间某风景区推出优惠措施如下表：购票人数：1-50人，每人门票价：5元；51-100人，每人门票价：4.5元；100人以上，每人门票价：4元；七年级(1)班和(2)班共103人(其中(1)班人数多于(2)班人数)去该风景区参观，如果以班为单位购票，两班共需付486元。(1)班有多少学生？</t>
  </si>
  <si>
    <t>小亮做了一个用于放试管的木架子，他在83/4厘米长的木条上钻了7个孔，每个孔的直径都为a厘米，如果两端的空间都是3/2，其它相邻两孔之间的距离相同都为43/24，请计算每个孔的直径为多少厘米？</t>
  </si>
  <si>
    <t>中国古代入民很早就在生产生活中发现了许多有趣的数学问题，其中《孙子算经》中有个问题，原文：今有三人共车，二车空；二人共车，九人步，问人与车各几何？译文为：今有若干人乘车，每3人共乘一车，最终剩余2辆车，若每2人共乘一车，最终剩余9个人无车可乘，问共有多少人？</t>
  </si>
  <si>
    <t>某学校第一季度共节约煤3700千克，其中二月份比一月份多节约20%，三月份比二月份多节约25%，则这个学校三月份节约煤多少千克？</t>
  </si>
  <si>
    <t>甲、乙两地相距480千米，一辆慢车从甲地开往乙地，一辆快车从乙地开往甲地，两车同时出发，经过3小时相遇，相遇时快车比慢车多行了120千米。求快车的速度。</t>
  </si>
  <si>
    <t>国庆节期间，甲、乙两商场以同样价格出售相同的商品，并且各自推出不同的优惠方案：在甲商场累计购物超过250元后，超出部分打八五折；在乙商场累计购物超过100元后，超出部分打九五折。问：购买多少元商品时（大于250元），两个商场的实际花费相同？</t>
  </si>
  <si>
    <t>供电局的电力维修工要到30千米远的郊区进行电力抢修。技术工人骑摩托车先走，0.25小时后，抢修车装载着所需材料出发，结果他们同时到达。已知抢修车的速度是摩托车的1.5倍，求摩托车的速度？</t>
  </si>
  <si>
    <t>某项工作，甲单独做要6天完成，乙单独做要12天完成，若甲、乙合作完成此项工作，求多少天可以完成？（列一元一次方程求解）</t>
  </si>
  <si>
    <t>食品安全是老百姓关注的话题，在食品中添加过量的添加剂对人体有害，但适量的添加剂对人体无害且有利于食品的储存和运输。某饮料加工厂生产的A，B两种饮料均需加入同种添加剂，A饮料每瓶需加该添加剂2克，B饮料每瓶需加该添加剂3克，已知270克该添加剂恰好生产了A，B两种饮料共100瓶，问A饮料生产了多少瓶？</t>
  </si>
  <si>
    <t>某城市按以下规定收取每月的煤气费：用气不超过60立方米，按每立方米0.8元收费；如果超过60立方米，超过部分按每立方米1.2元收费，已知某用户6月份煤气费平均每立方米0.88元，那么，6月份这位用户使用煤气多少立方米？</t>
  </si>
  <si>
    <t>一件大衣进价360元，标价是600元，要使该大衣利润为25%，则该服装应按几折出售.</t>
  </si>
  <si>
    <t>一列火车匀速行驶，经过一条长600米的隧道需要45秒的时间，隧道的顶部一盏固定灯，在火车上垂直照射的时间为15秒，则火车的长为多少米？</t>
  </si>
  <si>
    <t>已知甲乙两数之和为25，且甲数比乙数的3倍大1，求乙数为多少。</t>
  </si>
  <si>
    <t>从邵阳市到长沙的高铁列车里程比普快列车里程缩短了75千米，运行时间减少了4小时，已知邵阳市到长沙的普快列车里程为306千米，高铁列车平均时速是普快列车平均时速的3.5倍。求普快的平均时速.</t>
  </si>
  <si>
    <t>某玩具店用2000元购进一批玩具，面市后，供不应求，于是店主又购进同样的玩具，所购的数量是第一批数量的3倍，但进价贵了4元，结果购进第二批玩具共用了6300元，第一批购进书包的单价为多少元？</t>
  </si>
  <si>
    <t>小明用12元买软面笔记本，小丽用24元买硬面笔记本。已知每本硬面笔记本比软面笔记本贵2元，若小明和小丽买到相同本数的笔记本，求软面笔记本的单价.</t>
  </si>
  <si>
    <t>诗人李白本性嗜酒、豪放、旷达，有“斗酒诗百篇”的美誉，是唐代“饮中八仙”之一。民间流传李白买酒的歌谣：李白街上走，提壶去买酒；遇店加1倍，见花喝1斗；3遇店和花，喝完壶中酒；试问壶中酒，原有多少酒？亲爱的同学，请你用所学的数学知识答出歌谣中的问题。</t>
  </si>
  <si>
    <t>某校为了丰富“阳光体育”活动，现购进篮球和足球共16个，共花了2820元，已知篮球的单价为185元，篮球和足球个数比是1：3，则足球的单价为多少元？</t>
  </si>
  <si>
    <t>在一次美化校园活动中，七年级(1)班分成两个小组，第一组21人打扫操场，第二组18人擦玻璃，后来根据工作需要，要使第一组人数是第二组人数的2倍，问应从第二组调多少人到第一组？</t>
  </si>
  <si>
    <t>某中学组织学生去离学校15千米的东山农场，先遣队与大队同时出发，先遣队的速度比大队的速度快20%，结果先遣队比大队早到0.5小时，大队的速度是多少？</t>
  </si>
  <si>
    <t>一件工作，甲单独做20个小时完成，乙单独做12个小时完成，现在先由甲独做4小时，剩下的部分由甲、乙合做，剩下的部分要几个小时完成？</t>
  </si>
  <si>
    <t>某商家将一种电视机按进价提高35%后定价，然后打出“九折酬宾，外送50元出租车费”的广告，结果每台电视机获利208元。求每台电视机的进价?</t>
  </si>
  <si>
    <t>2017年5月，“一带一路”国际合作高峰论坛在中国北京成功召开。会议期间为方便市民出行，某路公交车每天比原来的运行增加30车次。经调研得知，原来这路公交车平均每天共运送乘客5600人，高峰论坛期间这路公交车平均每天共运送乘客8000人，且平均每车次运送乘客与原来的数量基本相同，问高峰论坛期间这路公交车每天运行多少车次？</t>
  </si>
  <si>
    <t>一个车间加工轴杆和轴承，每人每天平均可以加工轴杆12根或者轴承16个，1根轴杆与2个轴承为一套，该车间共有90人，应该多少人加工轴杆，才能使每天生产的轴承和轴杆正好配套？</t>
  </si>
  <si>
    <t>列分式方程解应用题：某建筑公司准备向甲、乙两个工程队发包一工程项目建设，经调查：甲队单独完成该工程的时间是乙队的2倍，甲、乙两队合作完成工程需要20天。乙单独完成这项工程需要多少天？</t>
  </si>
  <si>
    <t>某品牌西装进价为400元，标价为1200元，后由于该西装滞销积压，商家准备打折出售，若要保持利润率不低于20%，则至多打多少折。</t>
  </si>
  <si>
    <t>学校在假期内对教室内的黑板进行整修，需在规定日期内完成，如果由甲工程小组做，恰好按期完成；如果由乙工程小组做，则要超过规定日期15天；如果两组合作了10天，余下部分由乙组独做，正好在规定日期内完成。这项工程的规定时间是多少天？</t>
  </si>
  <si>
    <t>番禺某中学举行的”弘扬祠堂文化，凝聚乡情”征文活动中，七年级和八年级共收到征文118篇，且七年级收到的征文篇数比八年级收到的征文篇数的一半还少2篇，求八年级收到的征文有多少篇？</t>
  </si>
  <si>
    <t>列方程解应用题。世界读书日，某书店举办图书展。已知《词典》和《字典》两本书的标价总和是150元，《词典》按标价的50%出售，《字典》按标价的60%出售，王明花了80元买了这两本书，求《词典》的标价是多少元。</t>
  </si>
  <si>
    <t>学校准备添置一批课桌椅，原计划订购60套，每套100元，店方表示：如果多购，可以优惠。结果校方实际订购了72套，每套减价3元，但商店获得了同样多的利润。求每套课桌椅的成本</t>
  </si>
  <si>
    <t>某电子元件厂准备生产4600个电子元件，甲车间独立生产1/2后，由于要尽快投入市场，乙车间也加入了该电子元件的生产，若乙车间每天生产的电子元件个数是甲车间的1.3倍，结果用22天完成任务，问甲车间每天生产电子元件多少个？</t>
  </si>
  <si>
    <t>植树节时，某班学生平均植树6棵，单独女生完成，每人应植树15棵，那么单独男生完成，每人应植树多少棵？</t>
  </si>
  <si>
    <t>甲、乙两家园林公司承接了某项园林绿化工程，已知乙公司单独完成此项工程所需要的天数是甲公司单独完成所需要天数的1.5倍，甲公司单独完成这项工程需30天。园林部门要求完成该绿化工程的时间为30天，甲、乙公司合作若干天后，甲公司另有项目离开，剩下的过程由乙公司单独完成，求甲、乙两公司合作多少天。</t>
  </si>
  <si>
    <t>现有若干本书分给班上的同学，若每人分5本，则还缺20本；若每人分4本，则剩余25本。班上共有多少名同学？</t>
  </si>
  <si>
    <t>三个连续奇数的和等于87，那么最大的那个数是多少？</t>
  </si>
  <si>
    <t>2015-2016赛季中国男子篮球职业联赛（即）激战正酣，浙江广厦队表现不俗，暂居榜首，马布里领衔的卫冕冠军北京首钢队战绩不佳，截止12月23日，在前21轮比赛中，积35分位列第七位，按比赛规则，胜一场得2分，负一场得1分，那么截止12月23日北京首钢队共胜了多少场？</t>
  </si>
  <si>
    <t>七年级(1)班某合作学习小组矩形迎新年庆祝活动。组长小丽用自己的18元零花钱买了苹果和橘子共6千克，已知苹果每千克3.2元，橘子每千克2.6元，小丽买了苹果多少千克？</t>
  </si>
  <si>
    <t>为了拓展销路，商店对某种照相机的售价做了调整，按原价的8折(即标价的80%)出售，此时的利润率为14%，若此种照相机的进价为1200元，问该照相机的原售价是多少元？</t>
  </si>
  <si>
    <t>若干本书分给某班同学，如果每人6本则余18本，如果每人7本则缺24本，这个班有多少人？</t>
  </si>
  <si>
    <t>列方程解应用题：有一些相同的房间需要粉刷墙面，一天3名一级技工去粉刷8个房间，结果其中有50平方米前面未来得及刷；同样时间内5名二级技工粉刷了10个房间之外，还多粉刷了另外的40平方米墙面，每名一级技工比二级技工多粉刷8平方米墙面，求每个房间需要粉刷的墙面面积。</t>
  </si>
  <si>
    <t>在创建全国文明城市，做文明市民活动中，某企业献爱心，把一批图书分给某班学生阅读，如果每人分三本，则剩余20本，如果每人分4本，则还缺25本，这个班有多少学生？</t>
  </si>
  <si>
    <t>一项工程由甲单独做需12天完成，由乙单独做需8天完成，若两人合作3天后，剩下部分由乙单独完成，乙还需做多少天？</t>
  </si>
  <si>
    <t>“绿水青山就是金山银山”，某省2018年新建湿地公园和森林公园共42个，其中森林公园比湿地公园多4个。问该省2018年新建湿地公园多少个？</t>
  </si>
  <si>
    <t>甲种铅笔每支0.3元，乙种铅笔每支0.5元，用9元钱买了两种铅笔共20支，甲种铅笔买了多少支？</t>
  </si>
  <si>
    <t>甲车从A地出发以60千米/h的速度沿公路匀速行驶，0.5h后，乙车也从A地出发，以80千米/h的速度沿该公路与甲车同向匀速行驶，求乙车出发几小时追上甲车。</t>
  </si>
  <si>
    <t>列方程解应用题.在课外活动跳绳时，相同时间内小林跳了3000下，小龙跳了2400下，已知小林每分钟比小龙每分钟多跳12下，问小林跳3000下需要多少分钟？</t>
  </si>
  <si>
    <t>一项工程甲单独完成需要20小时，乙单独完成需要12小时，则甲先做8小时，然后甲乙合作，完成了这项工程的4/5，则从开始到现在甲做了多少小时？</t>
  </si>
  <si>
    <t>列方程或方程组解应用题：某服装商预测一种应季衬衫能畅销市场，就用8000元购进一批衬衫，面市后果然供不应求，服装商又用17600元购进了第二批这种衬衫，所购数量是第一批购进数量的2倍，但单价贵了8元。第一批衬衫进价为多少元/件？</t>
  </si>
  <si>
    <t>列方程求解：轮船沿江从A港顺流航行到B港，比从B港返回A港少用2小时，若轮船在静水中的速度为18千米/h，水流的速度为2千米/h，则从A顺流航行到B需要多久？</t>
  </si>
  <si>
    <t>将一批书分给一个学习小组，每人5本，缺2本；每人4本，余3本，问这个学习小组共有多少人？</t>
  </si>
  <si>
    <t>为了加强公民的节水意识，合理利用水资源，某市采用价格调控手段达到节水目的。该市自来水收费价格见价目表。若某户居民1月份用水9.5立方米，则应收水费：2×6+4×(9.5-6)=26元。价目表:每月用水量：不超出6立方米的部分，单价：2元/立方米；超出6立方米不超出10立方米的部分：单价：4元/立方米；超出10立方米的部分：单价：8元/立方米；注：水费按月结算，已知该户居民3月份交水费48元，若设该户居民3月份用水x立方米;(x＞10)，求x的值？</t>
  </si>
  <si>
    <t>某服装店同时卖出2套衣服，每套均卖168元，按成本计算，其中一套盈利20%，另一套亏本20%。则赢利的服装的成本是多少？</t>
  </si>
  <si>
    <t>张村计划将自来水管道进行改装，该工程若由甲队单独施工恰好在规定时间内完成；若由乙队单独施工，则完成工程所需天数是规定天数的1.5倍，如果由甲、乙两队先合作15天，那么余下的工程由甲队单独完成还需5天。甲单独完成这项工程需要多少天？</t>
  </si>
  <si>
    <t>京沪铁路是我国东部沿海地区纵贯南北的交通大动脉，全长1462千米，是我国最繁忙的铁路干线之一。如果从北京到上海的客车速度是货车速度的2倍，客车比货车少用6h，那么货车的速度是多少？（精确到0.1千米/h）</t>
  </si>
  <si>
    <t>以绳测井。若将绳三折测之，绳多五尺；若将绳四折测之，绳多一尺。绳长、井深各几何？题目大意：用绳子测水井深度，如果将绳子折成三等份，一份绳长比井深多5尺；如果将绳子折成四等份，一份绳长比井深多1尺。问绳长是多少尺？</t>
  </si>
  <si>
    <t>某校组织学生种植芽苗菜，三个年级共种植909盆，初二年级种植的数量比初一年级的2倍少3盆，初三年级种植的数量比初二年级多25盆。初一年级种植多少盆？</t>
  </si>
  <si>
    <t>某车间按计划要生产450个零件，由于改进了生产设备，该车间实际每天生产的零件数比原计划每天多生产20%，结果提前5天完成任务，求该车间原计划每天生产的零件个数？</t>
  </si>
  <si>
    <t>某糕点厂中秋节前要制作一批盒装月饼，每盒中装2块大月饼和4块小月饼。制作1块大月饼要用0.05kg面粉，1块小月饼要用0.02kg面粉。现共有面粉4500kg，问制作大月饼应各用多少面粉，才能生产最多的盒装月饼？（用一元一次方程解答）</t>
  </si>
  <si>
    <t>某工厂准备购买A、B两种零件，已知A种零件的单价比B种零件的单价多20元，而用800元购买A种零件的数量和用600元购买B种零件的数量相等.求A种零件的单价？</t>
  </si>
  <si>
    <t>甲种铅笔每支0.4元，乙种铅笔每支0.6元，某同学共购买了这两种铅笔30支，并且买乙种铅笔所花的钱是买甲种铅笔所花的钱的3倍。该同学购买甲种铅笔多少支？</t>
  </si>
  <si>
    <t>2018年“植树节”前夕，某小区为绿化环境，购进200棵柏树苗和120棵枣树苗，且两种树苗所需费用相同。每棵枣树苗的进价比每棵柏树苗的进价的2倍少5元，每棵柏树苗的进价是多少元.</t>
  </si>
  <si>
    <t>甲队有工人272人，乙队有工人196人，如果要求乙队的人数是甲队人数的1/3，应从乙队调多少人去甲队？</t>
  </si>
  <si>
    <t>智能时代引领铁路的高速发展，已知某铁路现阶段列车的平均速度是200千米/时，未来还将提速，在相同的时间内，列车现阶段行驶300千米，提速后列车比现阶段多行驶450千米，问列车平均提速多少千米/小时？</t>
  </si>
  <si>
    <t>苏宁电器商场计划用90000元从生产厂家购进50台电视机。已知该厂家生产2种不同型号的电视机，出厂价分别为A种每台1500元，B种每台2100元。若苏宁电器商场同时购进两种不同型号的电视机共50台，用去90000元，请你研究一下商场购进A种电视机多少台。</t>
  </si>
  <si>
    <t>某商家预测某种粽子能够畅销，就用6000元购进了一批这种粽子，上市后销售非常好，商家又用14000元购进第二批这种粽子，所购数量是第一批购进数量的2倍，但每袋进价多了5元。该商家第一批共购进这种粽子多少袋？</t>
  </si>
  <si>
    <t>一辆汽车从A地驶往B地，有1/3路段为普通公路，其余路段为高速公路，已知汽车在普通公路上行驶的速度为60千米/h，在高速公路上行驶的速度为100千米/h，汽车从A地到B地一共行驶了2.2h，请你根据以上信息，汽车从A地到B地的普通公路上行驶了多少小时？</t>
  </si>
  <si>
    <t>学校校办工厂需制作一块广告牌，请来师徒二人，已知师傅单独完成需4天，徒弟单独完成需6天，现由徒弟先做一天，再两人合作，完成后共得到报酬900元，如果按各人完成的工作量计算报酬，那么两人一起做了多少天?</t>
  </si>
  <si>
    <t>圆圆在商场用88元钱购买了甲、乙两种商品，甲商品每件8元，乙商品每件12元，其中甲商品比乙商品多1件，问甲商品买了多少件？</t>
  </si>
  <si>
    <t>节日某品牌服装打折，小明去购买了一套衣服共花了400元，已知上衣打八折，裤子打七折，上衣与裤子总价格为540元，求裤子原价是多少元。</t>
  </si>
  <si>
    <t>甲乙两地相距360千米，新修的高速公路开通后，在甲乙两地行驶的汽车的平均速度提高了50%，而从甲地到乙地的时间缩短了2小时。求汽车提速前的平均车速？</t>
  </si>
  <si>
    <t>已知A、B两地相距212千米，甲列车从A地开往B地，速度是60千米／时，乙列车从B地开往A地，速度是90千米／时，甲车先行0.2小时后乙车出发，几小时后两车相遇？</t>
  </si>
  <si>
    <t>甲、乙两车从A、B两地于上午9点钟同时出发，相向而行，已知甲的速度比乙快2千米/时，到上午11时两车还相距36千米，又过了2小时后，两车又相距36千米.求甲车的速度?</t>
  </si>
  <si>
    <t>在水平桌面上有甲、乙两个内部呈圆柱形的容器，内部底面积分别为80c平方米、100c平方米，且甲容器装满水，乙容器是空的。若将甲中的水全部倒入乙中，则乙中的水位高度比原先甲的水位高度低了8厘米，则甲的容积是多少？</t>
  </si>
  <si>
    <t>美丽嵊州吸引了很多游客，使民宿经济得到蓬勃发展，甲、乙两个旅行团同时来嵊州旅游，住进了西白山下的同一家农家乐。已知乙团人数比甲团人数多4人，两团人数之和等于72人。问甲旅行团的人数是多少人？</t>
  </si>
  <si>
    <t>某班举办了一次集都展览，展出的邮票若每人分3张，则多24张，若每人分4张，则少26张。这个班有多少名学生？</t>
  </si>
  <si>
    <t>一件工作甲单干用20小时，乙单干用的时间比甲多4小时，丙单干用的时间是甲的1/2还多2小时。若甲、乙合作先干10小时，丙再单干用几小时完成？</t>
  </si>
  <si>
    <t>学校大扫除，某班原来分成两个小组，第一组26打扫教室，第二组22人打扫包干区，这次根据工作需要，要使第二组人数是第一组人数的2倍，那么应该从第一组调多少人到第二组？</t>
  </si>
  <si>
    <t>白浪河是潍坊的母亲河，为打造特色滨水景观区，现有一段河道整治任务由A、B两工程队完成。A工程队单独整治该河道要16天才能完成；B工程队单独整治该河道要24天才能完成。现在A工程队单独做6天后，B工程队加入合做完成剩下的工程，那么A工程队一共做的天数是多少天？</t>
  </si>
  <si>
    <t>商场将进价为1980元的商品按标价的8折（标价的80%）出售，获利10%，则该商品标价为多少元？</t>
  </si>
  <si>
    <t>为了开展阳光体育活动，某班需要购买一批羽毛球拍和羽毛球，现了解情况如下：甲、乙两家商店出售同样品牌的羽毛球拍和羽毛球。羽毛球拍每副定价30元，羽毛球每盒定价5元，且两家都有优惠：甲店每买一副球拍赠一盒羽毛球；乙店全部按定价的9折优惠。若该班需购买羽毛球拍5副，购买羽毛球x盒(x不小于5盒)。当购买多少盒羽毛球时，在两家商店购买所花的钱相等？</t>
  </si>
  <si>
    <t>某班去看演出，甲种票每张24元，乙种票每张18元。如果35名学生购票恰好用去750元，甲种票买了多少张？</t>
  </si>
  <si>
    <t>某地区居民生活用电基本价格为每千瓦时0.40元，若每月用电量超过a千瓦时，则超过部分按基本电价的70%收费。某户八月份用电84千瓦时，共交电费30.72元，求a。</t>
  </si>
  <si>
    <t>用A型和B型机器生产同样的产品,已知4台A型机器一天的产品装满6箱还剩8个,5台B型机器一天的产品装满7箱还剩6个,每台B型机器比A型机器一天少生产2个产品,求每箱装多少个产品?</t>
  </si>
  <si>
    <t>一工程甲队单独做2天后乙队单独做3天刚好完成。已知乙队单独完成这项任务比甲队单独完成多用2天，求甲队单独完成这项任务需要多少天？</t>
  </si>
  <si>
    <t>现在，某商场进行元旦促销活动，出售一种优惠购物卡(注：此卡只作为购物优惠凭证不能顶替货款)，花300元买这种卡后，凭卡可在这家商场按标价的8折购物。顾客购买多少元金额的商品时，买卡与不买卡花钱相等？</t>
  </si>
  <si>
    <t>某机械厂甲、乙两个生产车间承担生产同一种零件的任务，甲、乙两车间共有50人，其中甲车间有30人.甲车间平均每人每天生产零件30个。乙车间平均每人每天生产零件20个，甲车间每天生产零件总数与乙车间每天生产零件总数之和为1300个。该机械厂改进了生产技术。在甲、乙两车间总人数不变的情况下，从甲车间调出一部分人到乙车间。调整后甲、乙两车间平均每人每天生产零件都比原来多5个，甲乙两车间每天生产零件总数之和是1480个，且甲、乙两车间每人的计件工资（按完成件数发放工资）分别是12元和9元，求甲车间调出多少人到乙车间？</t>
  </si>
  <si>
    <t>一份数学竞赛试卷有20道选择题，规定做对一题得5分，一题不做或做错■■■■(此处因印刷原因看不清楚)。文文做对了16道，但只得了76分，那么一题不做或做错扣多少分？</t>
  </si>
  <si>
    <t>某书店按标价的八折（标价的80%）售出，仍可获利20%，若该书的进价为18元，则标价为多少元？</t>
  </si>
  <si>
    <t>学校组织羽毛球比赛，七(1)班准备购买羽毛球拍和羽毛球用于训练。询问两家商店后得知：球拍25元/副，球2元/个。甲店说：球拍和球都打9折销售。乙店说：买一副球拍送2个球。若必须买2副球拍，则在甲店再买多少个球时到两家商店买一样合算？</t>
  </si>
  <si>
    <t>小彬和小颖相约到书城去买书，下面是两人的对话。小彬：“听说花20元办一张会员卡，买书可享受八五折优惠。”小颖：“是的，我上次买了几本书，加上办一张会员卡的费用，最后还省了10元。”请你根据他们对话的内容，求小颖上次所买图书的原价。</t>
  </si>
  <si>
    <t>一张圆桌由一个桌面和四条桌腿组成。如果1平方米木料可以制作圆桌的桌面50个，或制作桌腿300条，那么5平方米的木料最多能制作成多少张圆桌，使得桌面和桌腿正好配套？</t>
  </si>
  <si>
    <t>用方程解应用题：甲、乙两筑路队分别从2000米长的马路两头铺路，甲队每天铺80米，乙队每天比甲队多铺40米，问需多少天可铺完这条马路？</t>
  </si>
  <si>
    <t>母亲节前夕，某淘宝店主从厂家购进AB两种礼盒。已知、两种礼盒的单价比为2：3，单价和为200元;求A、种礼盒的单价是多少元？</t>
  </si>
  <si>
    <t>其商店用1000元人民币购进水果销售，过了一段时间又用2800元购进这种水果，所购数量是第一次购进数量的2倍，该商店第一次购进水果200千克。该商店两次购进的水果按照相同的标价销售一段时间后，将最后剩下的50千克按照标价半价（标价的50%）出售，售完全部水果后，利润不低于3100元，则最初每千克水果的标价是多少？</t>
  </si>
  <si>
    <t>从2004年8月1日起，浙江省城乡居民生活用电执行新的电价政策：安装“一户一表”的居民用户，按所抄见电量(每家用户电表所表示的用电量)实行阶梯式累进加价，收费标准如下：月用电量：不超过50千瓦时的部分，收费标准(元/千瓦时)：0.53；超过50千瓦不超过200千瓦时的部分时的部分，收费标准(元/千瓦时)：0.56；超过200千瓦的部分，收费标准(元/千瓦时)：0.63；例：若某户月用电300千瓦时，需交电费为0.53×50+0.56×(200-50)+0.63×(300-200)=173.5(元)，若10月份王老师家应付电费为96.50元，则10月份王老师家的用电量是多少千瓦时？</t>
  </si>
  <si>
    <t>2019年元旦，某超市将甲种商品降价30%，乙种商品降价20%开展优惠促销活动。已知甲、乙两种商品的原销售单价之和为2400元，某顾客参加活动购买甲、乙各一件，共付1830元。求甲种商品原销售单价是多少元？</t>
  </si>
  <si>
    <t>列方程解应用题：为宣传社会主义核心价值观，某社区居委会计划制作1200个大小相同的宣传栏。现有甲、乙两个广告公司都具备制作能力，居委会派出相关人员分别到这两个广告公司了解情况，获得如下信息：信息一：甲公司单独制作完成这批宣传栏比乙公司单独制作完成这批宣传栏多用10天；信息二：乙公司每天制作的数量是甲公司每天制作数量的1.2倍。根据以上信息，求甲广告公司每天能制作多少个宣传栏？</t>
  </si>
  <si>
    <t>父亲和女儿的年龄之和为91，当父亲的年龄是女儿现在年龄的2倍的时候，女儿的年龄是父亲现在年龄的1/3，求父亲现在的年龄。</t>
  </si>
  <si>
    <t>某校有住宿生若干人，若每间宿舍住9人，则有5人无处住，若每间宿舍增加1人，则还空35张床位，求共有多少间宿舍？有多少住宿生？</t>
  </si>
  <si>
    <t>一个长方形的周长是26厘米，若这个长方形的长减少1厘米，宽增加2厘米，就可以成为一个正方形，则长方形的长是多少厘米？</t>
  </si>
  <si>
    <t>某校计划购买20张书柜和一批书架（书架不少于20只），现从A、B两家超市了解到：同型号的产品价格相同，书柜每张210元，书架每只70元，A超市的优惠政策为每买一张书柜赠送一只书架，B超市的优惠政策为所有商品八折，设购买书架a只。若规定只能到其中一个超市购买所有物品，计算在什么情况下到两家超市购买所用价钱一样？</t>
  </si>
  <si>
    <t>“双11”天猫商城推出各种优惠活动进行促销。今年，张阿姨在“双11”到来之前准备在两家天猫店铺中选择一家购买原价均为1000元/条的被子若干条。店铺在活动期间分别给予以下优惠：A店铺：“双11”当天购买可以享受8折优惠；B店铺：商品每满1000元可使用店铺优惠券80元，同时每满500元可使用商城“双11”购物津贴券50元，同时“双11”当天购买还可立减100元。（例如：购买2条被子需支付1000*2-80*2-50*4-100=1540元）。张阿姨在“双11”当天购买几条被子，两家店铺的费用相同？</t>
  </si>
  <si>
    <t>某工厂现在平均每天比原计划多生产50台机器，现在生产600台机器所需要时间与原计划生产450台机器所需时间相同。原计划平均每天生产多少台机器？</t>
  </si>
  <si>
    <t>一件衣服按标价的八折出售，店主可赚20元.已知这件衣服的进价是60元，求这件衣服的标价是多少元？</t>
  </si>
  <si>
    <t>某商场将一件玩具按进价提高50%后标价，销售时按标价打折销售，结果相对于进价仍获利20%，则这件玩具销售时打的折扣是几折？</t>
  </si>
  <si>
    <t>把一批图书分给初一某班学生阅读，如果每人分3本，则剩余20本；如果每人分4本，则差25本。这个班有多少名学生？</t>
  </si>
  <si>
    <t>元旦期间，某商场用1400元购进了甲、乙两种商品，共100件，进价分别是18元、10元。求甲商品购进了多少件？</t>
  </si>
  <si>
    <t>制作一张餐桌要用一个桌面和4条桌腿。某家具公司的木工师傅用1立方米木材可制作15个桌面或300个桌腿，公司现有18立方米的木材。家具公司欲将制作餐桌全部出售，为尽快回收资金，决定以标价的八折出售，一张餐桌仍可获利28%，这样全部出售后总获利31500元。求每张餐桌的标价是多少？</t>
  </si>
  <si>
    <t>某一工程，在工程招标时，接到甲、乙两个工程队的投标书。工程领导小组根据甲、乙两队的投标书测算，若由甲工程队单独完成这项工程，刚好如期完成；若由乙工程队单独完成此项工程，则要比规定工期多用6天。现先由甲、乙两队合做3天，余下的工程再由乙队单独完成，也正好如期完成。求该工程规定的工期天数。</t>
  </si>
  <si>
    <t>小明从今年1月初起刻苦练习跳远,每个月的跳远成绩都比上一个月有所增加,而且增加的距离相同2月份,5月份他的跳远成绩分别为4.1m,4.7m请你算出小明1月份的跳远成绩.</t>
  </si>
  <si>
    <t>为了建设长春地铁，人民大街某段600米的道路开始进行封闭施工，为了尽量减少施工对城市交通造成的影响，实际工作效率是原计划的1.5倍，结果提前2天完成任务，求原计划每天修路的长度。</t>
  </si>
  <si>
    <t>商场将商品按原价8折（标价的80%）出售，此时商品的利润率是10%。已知该商品的进价是1800元。那么该商品的原价是多少元？</t>
  </si>
  <si>
    <t>学校图书馆用240元购进A种图书若干本，同时用200元购进B种图书若干本，A种图书的单价是B种图书的1.5倍，B种图书比A种图书多购进4本，求B种图书的单价。</t>
  </si>
  <si>
    <t>一件商品按成本价提高20%后又以8折销售价240元出售，则成本价是多少元？</t>
  </si>
  <si>
    <t>在创建文明城市的施工建设中，对某道路进行改造。有甲、乙两个工程队共同承包，甲队比乙队每天多改造10米，且甲队改造80米与乙队改造60米所用时间相等。求乙队每天改造道路多少米？</t>
  </si>
  <si>
    <t>商店出售书包和钢笔，书包每个24元，钢笔每支5元。有两种优惠方法：1。买一个书包送一支钢笔；2。按原价打9折付款。一位顾客买了5个书包和x支钢笔(x＞5)，购买多少只钢笔时，两种方法的付款数相同？</t>
  </si>
  <si>
    <t>一家商场将某种商品按成本价提高50%后标价出售，元旦期间，为答谢新老顾客对商场的光顾，打八折销售，每件商品仍可获利40元。请问这件商品的成本价是多少元？</t>
  </si>
  <si>
    <t>某中学在商店购进A、B两种品牌的书包，已知购买一个B品牌书包比购买一个A品牌书包多花30元，且用300元购买A品牌书包的数量比用320元购买B品牌书包的数量多2个。求购买一个A品牌的书包需多少元？</t>
  </si>
  <si>
    <t>某班组织春游，A，B两个景点每人任选一处.去A景点的每人付费20元，去B景点的每人付费30元，全班共付费1200元.若去A，B两景点的人数相等（即各为1/2），问该班有学生多少人？</t>
  </si>
  <si>
    <t>黄冈小河中学七年级学生在5名教师的带领下去赤壁公园游玩，公园的门票为每人30元。现有两种优惠方案，甲方案：带队教师免费，学生按8折收费；乙方案：师生都7.5折收费。求有多少名学生时，两方案费用一样？</t>
  </si>
  <si>
    <t>某公司研发生产的560件新产品需要精加工后才能投放市场。现由甲、乙两个工厂来加工生产，已知甲工厂每天加工生产的新产品件数是乙工厂每天加工生产新产品件数的1.5倍，并且加工生产240件新产品甲工厂比乙工厂少用4天。求乙工厂每天可加工生产多少件新产品？</t>
  </si>
  <si>
    <t>某服装厂计划若干天完成一批夹克衫的订货任务。如果每天生产服装20件，那么就比订货任务少生产100件；如果每天生产23件，那么就可超过订货任务20件。求出原计划多少天完成？</t>
  </si>
  <si>
    <t>某超市用3000元购进某种干果销售，由于销售状况良好，超市又调拨9000元资金购进该种干果，但这次的进价比第一次的进价提高了20%，购进干果数量是第一次的2倍还多300千克，求该种干果的第一次进价是每千克多少元？</t>
  </si>
  <si>
    <t>有一个两位数，十位上的数字比个位上的数字大3，把个位数字与十位数字对调之后所得数与原数之和是77，则这个两位数上个位数是多少？</t>
  </si>
  <si>
    <t>某文艺团体为“希望工程”募捐义演，全价票为每张18元，学生享受半价（标价的50%），某场演出共售出966张票，收入15480元，问这场演出共售出学生票多少张。</t>
  </si>
  <si>
    <t>甲组的4名工人3月份完成的总工作量比此月人均定额的4倍多20件，乙组的5名工人3月份完成的总工作量比此月人均定额的6倍少20件。如果两组工人实际完成的此月人均工作量相等，那么此月人均定额是多少件？</t>
  </si>
  <si>
    <t>某青春党支部在精准扶贫活动中，给结对帮扶的贫困家庭赠送甲、乙两种树苗让其栽种。已知乙种树苗的价格比甲种树苗贵10元，用480元购买乙种树苗的棵数恰好与用360元购买甲种树苗的棵数相同。求甲种树苗每棵的价格是多少元？</t>
  </si>
  <si>
    <t>一个车间加工轴杆和轴承，每人每天平均可以加工轴杆12根或者轴承16个，1根轴杆与2个轴承为一套，该车间共有90人，应该安排多少人加工轴杆，才能使每天生产的轴承和轴杆正好配套？</t>
  </si>
  <si>
    <t>“今有善行者行一百步，不善行者行六十步。”（出自《九章算术》）意思是：同样时间段内，走路快的人能走100步，走路慢的人只能走60步。假定两者步长相等，据此回答以下问题：今不善行者先行两百步，善行者追之，问几何步及之？即：走路慢的人先走200步，请问走路快的人走多少步才能追上走路慢的人？</t>
  </si>
  <si>
    <t>甲班有45人，乙班有39人。现在需要从甲、乙班各抽调一些同学去参加歌咏比赛。如果从甲班抽调的人数比乙班多1人，那么甲班剩余人数恰好是乙班剩余人数的2倍。请问从甲班抽调了多少参加歌咏比赛？</t>
  </si>
  <si>
    <t>某商品降价20%后出售，一段时间后欲恢复原价，则应在售价的基础上提高的百分数是多少？</t>
  </si>
  <si>
    <t>把一批图书分给七年级(12)班的同学阅读，若每人分3本，则剩余17本，若每人分4本，则缺25本，这个班有多少学生？</t>
  </si>
  <si>
    <t>列方程解应用题：2018年元月初，我国中东部地区普降大雪，某武警部队战士在两个地方进行救援工作，甲处有130名武警部队战士，乙处有70名武警部队战士，现在又调来200名武警部队战士支援，要使甲处的人数比乙处人数的2倍多10人，应往甲处调来多少名武警部队战士？</t>
  </si>
  <si>
    <t>永辉超市为春节促销，特推出了两种购物方案。方案一：非会员购物所有商品价格可获九折优惠；方案二：如交纳400元会费成为该超市会员，则所有商品价格可获八五折优惠。哪种情况下，两种方案的支出金额相同？</t>
  </si>
  <si>
    <t>某种商品每件的标价为200元，按标价的九折（标价的90%）销售时，每件仍能获利20元，则这种商品每件的进价为多少元？</t>
  </si>
  <si>
    <t>某商品的标价为150元，若以8折降价出售。相对于进价仍获利20%，则该商品的进价为(　　)</t>
  </si>
  <si>
    <t>2020年8月高邮高铁将通车，高邮至北京的路程约为900千米，甲、乙两人从高邮出发，分别乘坐汽车A与高铁B前往北京。已知A车的平均速度比B车的平均速度慢150千米/h，A车的行驶时间是B车的行驶时间的2.5倍，B车的行驶时间为多少？</t>
  </si>
  <si>
    <t>经营户小李在水果批发市场上了解到一下信息：蔬菜品种：苹果：批发价(元/千克)：3.5，零售价(元/千克)：4.5；香蕉：批发价(元/千克)：1.2，零售价(元/千克)：1.5；西瓜：批发价(元/千克)：1.5，零售价(元/千克)：2.8；梨子：批发价(元/千克)：1.3，零售价(元/千克)：1.8；他共用135元钱从市场上批发了苹果和西瓜共50千克到市场上去卖。请计算小李苹果买了多少千克？</t>
  </si>
  <si>
    <t>某公司工会为庆“三八”妇女节，特举办女员工抽奖活动。现需购置甲、乙两类奖品，购置甲奖品用了2500元，购置乙奖品用了2000元。若购置乙奖品的件数是甲奖品件数的1/2，且乙奖品单价比甲奖品贵30元。求甲奖品的单价是多少元？</t>
  </si>
  <si>
    <t>在甲处劳动的有27人，在乙处劳动的有19人，现在另调20人去支援，使在甲处的人数与在乙处的人数相等，应调往甲处多少人？</t>
  </si>
  <si>
    <t>“丰收1号”油菜籽的平均每公顷产量为2400kg，含油率为40%。“丰收2号”油菜籽比“丰收1号”的平均每公顷产量提高了300kg，含油率提高到50%。某村去年种植“丰收1号”油菜，今年改种“丰收2号”油菜，虽然种植面积比去年减少2公顷，但是所产油菜籽的总产油量比去年提高了5100kg.这个村去年种植油菜的面积是多少公顷？</t>
  </si>
  <si>
    <t>我市经济技术开发区某智能手机有限公司接到生产300万部智能手机的订单，为了尽快交货，增开了一条生产线，实际每月生产能力比原计划提高了50%，结果比原计划提前5个月完成交货，求每月原计划生产智能手机多少万部。</t>
  </si>
  <si>
    <t>把一些书分给某班学生阅读，如果每人分3本，则余20本；如果每人分4本，则还缺25本，图书有多少本？</t>
  </si>
  <si>
    <t>列一元一次方程解应用题。某校七年级（1）班数学老师为做好期末复习，事先录制了一节复习课，准备刻成电脑光盘给每个学生回家观看。如果到电脑公司刻录光盘每张需9元；如果在学校自己刻录，除租用一台刻录机需要140元外，每张光盘还需要成本费5元。问刻录多少张光盘时，到电脑公司刻录与学校自己刻录所需费用一样？</t>
  </si>
  <si>
    <t>校园“mama”超市出售2种中性笔，一种每盒有8支，另一种每盒有12支。由于近段时间某班全体上课状态很不错，班委准备每人发1支以示鼓励。若买每盒8支的中性笔x盒，则有3位同学没有中性笔；若买每盒12支的中性笔，则可以少买2盒，且最后1盒还剩1支，则x的值是多少？</t>
  </si>
  <si>
    <t>五•一期间，某商场推出全场打八折（标价的80%）的优惠活动，持贵宾卡可在八折（标价的80%）基础上继续打折，小明妈妈持贵宾卡买了标价为10000元的商品，共节省2800元，则用贵宾卡又享受了几折优惠。</t>
  </si>
  <si>
    <t>2008年5月12日，四川省发生8.0级地震，某市派出两个抢险救灾工程队赶到汶川支援，甲工程队承担了2400米道路抢修任务，乙工程队比甲工程队多承担了600米的道路抢修任务，甲工程队施工速度比乙工程队每小时少修40米，结果两工程队同时完成任务。问乙两工程队每小时各抢修道路多少米。</t>
  </si>
  <si>
    <t>王铭寒假时和同学们观看冰灯，门票每张150元，15张(含15张)以上打八折，他们共花2400元，他们共买了多少张门票？</t>
  </si>
  <si>
    <t>某商场以每件120元的价格购进了某种品牌的衬衫600件，并以每件140元的价格销售了500件，由于天气原因，商场准备采取促销措施，问剩下的衬衫促销价格定为每件多少元时，销售完这批衬衫恰好盈利10800元？</t>
  </si>
  <si>
    <t>某品牌牛奶专营店销售一款牛奶，售价是在进价的基础上加价a%出售，每月的销售额可以达到96000元，但每月需支出24500元的固定费用及进价的2.5%的其它费用。如果该款牛奶每月所获的利润要达到10000元，那么a的值是多少？（利润＝售价﹣进价﹣固定费用﹣其它费用）</t>
  </si>
  <si>
    <t>在我市举行的中学生安全知识竞赛中共有20道题。每一题答对得5分，答错或不答都扣3分。小李考了60分，那么小李答对了多少道题？</t>
  </si>
  <si>
    <t>某品牌商品，按标价八折(标价的80%)出售，仍可获得10%的利润，若该商品标价275元，则商品的进价为多少元？</t>
  </si>
  <si>
    <t>把一些图书分给某班学生阅读，如果每人分3本，则剩余20本；如果每人分4本，则还缺25本。这个班有多少学生？</t>
  </si>
  <si>
    <t>某同学在A、B两家超市发现他看中的随身听的单价相同，书包的单价也相同.随身听和书包单价之和是452元，且随身听的单价是书包单价的4倍少8元。求该同学看中的随身听的单价是多少元？</t>
  </si>
  <si>
    <t>某校七年级(1)班数学老师为做好期末复习，事先录制了一节复习课，准备刻成电脑光盘给每个学生回家观看。如果到电脑公司刻录光盘每张需9元；如果在学校自己刻录，除租用一台刻录机需要140元外，每张光盘还需要成本费5元。问刻录多少张光盘时，到电脑公司刻录与学校自己刻录所需费用一样？</t>
  </si>
  <si>
    <t>某学校刚完成一批结构相同的学生宿舍的修建，这些宿舍地板需要铺瓷砖，一天4名一级技工去铺4个宿舍，结果还剩12平方米地面未铺瓷砖；同样时间内6名二级技工铺4个宿舍刚好完成，已知每名一级技工比二级技工一天多铺3平方米瓷砖。求每个宿舍需要铺瓷砖的地板面积</t>
  </si>
  <si>
    <t>为节约能源，某物业公司按以下规定收取每月电费：用电不超过140度，按每度0.43元收费；如果超过140度，超过部分按每度0.57元收费。若某用户四月份的电费平均每度0.5元，该用户四月份用电多少度？</t>
  </si>
  <si>
    <t>小刚在A，B两家体育用品商店都发现了他看中的羽毛球拍和篮球，两家商店的羽毛球拍和篮球的单价都是相同的，羽毛球拍和篮球单价之和是426元，且篮球的单价是羽毛球拍的单价的4倍少9元。求小刚看中的羽毛球拍的单价是多少元？</t>
  </si>
  <si>
    <t>某工人原计划在限定的时间内加工一批零件，如果每小时加工10个零件，就可以超额完成3个；如果每小时加工11个零件，就可以提前1小时完成。问这批零件有多少个？</t>
  </si>
  <si>
    <t>近年来，各地旅游业迅速崛起，某风景旅游区为了打造一条靓丽的风光带，将一段长为360米的河道整治任务安排给甲、乙两个工程队先后接力完成，共用时20天，已知甲工程队每天整治河道24米，乙工程队每天整治河道16米，甲工程队整治了多长的河道？</t>
  </si>
  <si>
    <t>某玩具的标价是132元，若降价以9折出售仍可获利10%，则该玩具的进价是多少元？</t>
  </si>
  <si>
    <t>元旦期间各大商场某品牌衣服有促销活动，小芳看中了一款衣服，该衣服在甲、乙两商场标价相同，甲商场的促销方式是“7折优惠”，而乙商场的促销方式是“先让利80元，再打8折”。小芳算了算发现两个商场的实际售价相同，请你算一算这款衣服在甲、乙两商场的标价是多少元？</t>
  </si>
  <si>
    <t>一个车间加工轴杆和轴承，每人每天平均可以加工轴杆12根或者轴承16个，1根轴杆与2个轴承为一套，该车间共有90人，应该调配多少人力生产轴杆，才能使每天生产的轴承和轴杆正好配套？</t>
  </si>
  <si>
    <t>一艘货轮往返于上下游两个码头之间，逆流而上需要6小时，顺流而下需要4小时，若船在静水中的速度为20千米/时，则水流的速度是多少千米/时？</t>
  </si>
  <si>
    <t>某超市预测某饮料有发展前途，用1600元购进一批饮料，面市后果然供不应求，又用6000元购进这批饮料，第二批饮料的数量是第一批的3倍，但单价比第一批贵2元。第一批饮料进货单价多少元？</t>
  </si>
  <si>
    <t>甲车和乙车从A、B两地同时出发，沿同一线路相向匀速行驶，出发后1.5h两车相遇，相遇时甲车比乙车少走30千米，相遇后1.2h乙车到达A地。甲车的行驶速度是多少？</t>
  </si>
  <si>
    <t>x的2倍与5的和比x的1/2小10，则x为多少？</t>
  </si>
  <si>
    <t>一个三位数，百位数比十位数上的数大4，个位上数比十位上的数大2，这个三位数恰好是后两个数字组成的两位数的21倍，求这个三位数十位数上的值。</t>
  </si>
  <si>
    <t>列代数式</t>
  </si>
  <si>
    <t>现有两家商场出售同一种课桌和椅子，课桌每张定价200元，椅子每把定价80元，两家商场在国庆期间，向客户提供如下优惠方案：商场一：每买一张课桌就赠送一把椅子；商场二：课桌和椅子都打八折。某校计划添置100张课桌和x（x＞100）把椅子。当购买多少椅子的时候两家上次费用一样？</t>
  </si>
  <si>
    <t>已知某商品降价20%后的售价为2800元，则该商品的原价为多少元？</t>
  </si>
  <si>
    <t>某制衣厂计划若干天完成一批服装的订货任务。如果每天生产服装20套，那么就比订货任务少生产100套；如果每天生产23套，那么就可超过订货任务20套。这批服装原计划多少天完成？</t>
  </si>
  <si>
    <t>在手工制作课上，老师组织七年级(2)班的学生用硬纸制作圆柱形茶叶筒。七年级(2)班共有学生44人，其中男生人数比女生人数少2人，七年级(2)班有男生多少人？</t>
  </si>
  <si>
    <t>已知甲煤场有煤518吨，乙煤场有煤106吨，为了使甲煤场存煤是乙煤场的2倍，需要从甲煤场运煤到乙煤场多少吨？</t>
  </si>
  <si>
    <t>学校安排学生住宿，若每室住5人，则有4人无法安排；若每室住6人，可空出1个房间。宿舍有多少房间？</t>
  </si>
  <si>
    <t>端午节到了，某商场出售A，B两种粽子礼盒，其中B种礼盒单价是A种礼盒的1.5倍，已知用2000元购买A种礼盒的数量，比用2400元购买B种礼盒的数量多5盒，求A种粽子礼盒的单价是多少元？</t>
  </si>
  <si>
    <t>入冬以来，某家电销售部以150元/台的价格购进一款烤火器，很快售完，又用相同的货款再次购进这款烤火器，因单价提高了30元，进货量比第一次少了10台。家电销售部第一次购进烤火器多少台？</t>
  </si>
  <si>
    <t>汽车以每小时72千米的速度笔直地开向寂静的山谷，驾驶员按一声喇叭，4秒后听到回响，已知声音的速度是每秒340米，听到回响时汽车离山谷的距离是多少米？</t>
  </si>
  <si>
    <t>抚州“名人园汤显祖冰雕节”期间，小米妈妈和几个闺蜜带小米及其他小朋友去冰雕屋体验冰火二重天，小米在检票口看到价牌上写道“大人每张60元，小孩每张30元”小米妈妈买了10张门票共花了420元，则大人票买了多少张？</t>
  </si>
  <si>
    <t>国家规定个人发表文字、出版图书所得稿费的纳税计算方法是：稿费不高于800元的不纳税；稿费高于800元，而低于4000元的应缴纳超过800元的那部分稿费的14%的税；稿费为4000元或高于4000元的应缴纳全部稿费的11%的税，试根据上述纳税的计算方法作答：若王老师获稿费后纳税420元，求这笔稿费是多少元？</t>
  </si>
  <si>
    <t>某体育用品商场用32000元购进了一批运动服，上市后很快销售一空。商场又用68000元紧急购进第二批这种运动服，所购数量是第一批购进数量的2倍，但每套进价多了10元。该商场两次分别购进这种运动服各200、400套。若两批运动服每套的售价相同，第二批售完后获利比第一批售完后获利多12000元，则每套运动服的售价是多少元？</t>
  </si>
  <si>
    <t>端午节前后，张阿姨两次到超市购买同一种粽子。节前，按标价购买，用了96元；节后，按标价的6折购买，用了72元，两次一共购买了27个。这种粽子的标价是多少？</t>
  </si>
  <si>
    <t>某班计划买一些乒乓球和乒乓球拍，现了解情况如下：甲、乙两家商店出售两种同样品牌的乒乓球和乒乓球拍，乒乓球拍每副定价100元，乒乓球每盒定价25元。经洽谈后，甲店每买一副球拍赠一盒乒乓球，乙店全部按定价的9折优惠。该班需球拍5副，乒乓球若干盒(不少于5盒)。问：当购买乒乓球多少盒时，两种优惠办法付款一样？</t>
  </si>
  <si>
    <t>商店对某种商品作调价，按原价的8折出售，此时商品的利润是10%，此商品的进价为1600元，问商品的原价是多少？</t>
  </si>
  <si>
    <t>某下水管道工程由甲、乙两个工程队单独铺设分别需要10天、15天完成。如果两队从两端同时施工2天，然后由乙队单独施工，还需多少天完成？</t>
  </si>
  <si>
    <t>小红在某月日历的一个竖列上圈了三个数，这三个数的和恰好是33，则这三个数中最大的一个是多少。</t>
  </si>
  <si>
    <t>小明同学在某月的日历上圈出2×2个数，正方形的方框内的四个数的和是32，那么这四个数中最小的数是多少？</t>
  </si>
  <si>
    <t>为了改善生态环境，某乡村计划植树4000棵。由于志愿者的支援，实际工作效率提高了20%，结果比原计划提前3天完成，并且多植树80棵，原计划每天植树多少棵？</t>
  </si>
  <si>
    <t>某船从A码头顺流航行到B码头，然后逆流返航到C码头，共行20小时，已知船在静水中的速度为7.5千米/小时，水流速度为2.5千米/小时，若A与C的距离比A与B的距离少40千米，假设C在A和B之间，求A与B的距离。</t>
  </si>
  <si>
    <t>我市某商场有甲、乙两种商品，甲种每件进价15元，售价20元；乙种每件进价35元，售价45元。若商家购进甲、乙两种商品共100件，获利恰好700元，问该商场购进甲商品多少件？</t>
  </si>
  <si>
    <t>甲、乙两人分别从相距25千米的A、B两地同时出发相向而行，经过3小时后两人仍未相遇，但相距7千米，再经过2小时后，甲到B地所剩路程是乙到A地所剩路程1/3，求甲的速度。</t>
  </si>
  <si>
    <t>甲、乙两件服装的成本共500元，商店老板为获取利润，决定甲服装按50%的利润标价，乙服装按40%的利润标价出售.在实际出售时，应顾客要求，两件服装均按标价9折(标价的90%)出售，这样商店共获利157元，求甲服装的成本是多少元？</t>
  </si>
  <si>
    <t>甲、乙两工程队合作完成一项工程需要12天完成，工程费用共36000元。若甲、乙两工程队单独完成此项工程，乙工程队所用的时间是甲工程队的1.5倍，乙工程队每天的费用比甲工程队少800元。甲工程队每天费用为多少元？</t>
  </si>
  <si>
    <t>小明今年12岁，老师告诉他：“我今年的年龄是你的3倍小4岁”，接着老师又问小明：“再过几年我的年龄正好是你的2倍？”请你帮助小明解决这一问题。</t>
  </si>
  <si>
    <t>铁力商厦四楼某商品的标价为1540元，若以9折销售，仍可获利10%(对于进价而言)的利润，则这种商品的进价为多少元？</t>
  </si>
  <si>
    <t>一件工作甲队单独做需7.5h完成，乙队单独做需5h完成，现甲队单独做1h后，剩余工程由乙队单独完成，问乙队需要多少时间完成？</t>
  </si>
  <si>
    <t>如图，水平放置的容器内原有210毫米高的水，将若干个球逐一放入该容器中个，毎放入1个大球水面上升4毫米，每放入一个小球水面就上升若干毫米，假定放入容器中的所有球完全浸没水中且水不溢出。先放入5个大球，再放入4个小球，这时水面上升到了242毫米，那么放1个小球会使水面上升多少毫米？</t>
  </si>
  <si>
    <t>某商品的进价是80元，打8折（标价的80%）售出后，仍可获利10%，你认为标在标签上的价格为多少元？</t>
  </si>
  <si>
    <t>一架飞机在两城之间飞行，顺风需要4小时，逆风需要4.5小时；测得风速为45千米/时，求两城之间的距离。</t>
  </si>
  <si>
    <t>一个两位数，个位与十位上的数字之和为12，如果交换个位与十位数字，则所得新数比原数大36，求原两位数上的个位数数字。</t>
  </si>
  <si>
    <t>一件服装的标价为300元，打八折销售后可获利60元，则该件服装的成本价是多少元？</t>
  </si>
  <si>
    <t>一项工作，甲单独做8天完成，乙单独做12天完成，丙单独做24天完成。现甲、乙合作3天后，甲因有事离去，由乙、丙合作，则乙、丙还要几天才能完成这项工作？</t>
  </si>
  <si>
    <t>2016年元旦期间日月峡水伊方优惠开放。门票售价为：成人票每张150元，儿童票每张70元。如果某日水伊方售出门票100张，门票收入共11000元。那么当日售出成人票多少张？</t>
  </si>
  <si>
    <t>星期天，小明和小华从同一小区门口同时出发，沿同一路线去离该小区1800米的少年宫参加活动，为响应“节能环保，绿色出行”的号召，两人都步行，已知小明的速度是小华的速度的1.2倍，结果小明比小华早5分钟到达，求两人的速度。</t>
  </si>
  <si>
    <t>某车间每天能制作甲种零件300只，或者制作乙种零件200只，1只甲种零件需要配2只乙种零件。现要在20天内制作最多的成套产品，则甲种零件应制作多少天？</t>
  </si>
  <si>
    <t>某商场销售一种西装和领带，西装每套定价500元，领带每条定价100元，“国庆节”期间商场决定开展促销活动，活动期间向客户提供两种优惠方案。现某客户要到商场购买西服20套，领带x条（x＞20)。方案一：买一套西装送一条领带；方案二：西装和领带都按定价的90%付款。当x为多少时，两种方案价钱一样？</t>
  </si>
  <si>
    <t>父子二人今年分别是51岁、19岁，几年后父亲年龄是儿子年龄的2倍。</t>
  </si>
  <si>
    <t>某商店在某一时间以每件60元的价格卖出两件衣服，其中一件盈利25%，另一件亏损25%，求赢利的衣服发的价格是多少元？</t>
  </si>
  <si>
    <t>某中学学生步行到郊外旅行。七年级（1）班学生组成前队，步行速度为4千米/时，七（2）班的学生组成后队，速度为6千米/时；前队出发1小时后，后队才出发，同时后队派一名联络员骑自行车在两队之间不间断地来回联络，他骑车的速度为10千米/时。后队追上前队需要多长时间？</t>
  </si>
  <si>
    <t>自来水公司为鼓励节约用水，对水费按以下方式收取：用水不超过10吨，每吨按0.8元收费，超过10吨的部分按每吨1.5元收费，王老师三月份平均水费为每吨1.0元，则王老师家三月份用水多少吨？</t>
  </si>
  <si>
    <t>2014年12月28日开始北京地铁新票价已经实施，告别了“地铁2元任意坐”的时代，小颖在北京某高校读书，每周末回家一次，若一年除寒暑假外她有42周在校读书时间，她计算后发现，一年乘地铁“回家”的往返费用要比“2元时代”多花费504元，求新票价实施后，小颖乘地铁“回家”的单程票价。</t>
  </si>
  <si>
    <t>已知一周长为30厘米的圆形轨道上有相距10厘米的A、B两点(备注：圆形轨道上两点间的距离是指圆上这两点间的较短部分展直后的线段长)。动点P从A点出发，以a厘米/s的速度，在轨道上逆时针方向运动，与此同时，动点Q从B点出发，以3厘米/s的速度，按同样的方向运动，设运动时间为t(s)，当t=5时，动点P、Q第一次相遇。若a＞3，则在P、Q第二次相遇前，当动点P、Q在轨道上相距12厘米时，t&lt;1时，求t的值。</t>
  </si>
  <si>
    <t>为了加快新农村建设，国务院决定：凡农民购买家电和摩托车享受政府13%的补贴(凭购物发票到乡镇财政所按13%领取补贴)。农民李伯伯家购买了一台彩电和一辆摩托车共花去6000元，且该辆摩托车的单价比所买彩电的单价的2倍还多600元。求李伯伯家所买的彩电的单价是多少元？</t>
  </si>
  <si>
    <t>一件商品按成本价提高20%后标价，又以9折销售，售价为270元，这种商品的成本价是多少元？</t>
  </si>
  <si>
    <t>整理一批图书，如果由一人单独做要用28h，现先安排一部分人用lh整理，随后又增加5人和他们一起又做了2h，恰好完成整理工作。假设每个人的工作效率相同，那么先安排整理的人员有多少？</t>
  </si>
  <si>
    <t>小明自主创业开了一家服装店，因为进货时没有进行市场调查，在换季时积压了一批服装。为了缓解资金压力，小明决定打折销售。若每件服装按标价的5折（标价的50%）出售将亏20元，而标价为120元，进价为80元。小明认真总结了前一次的教训，进行了详细的市场调查后第二次进货600件，按第一次的标价销售了200件后，剩下的进行打折甩卖，为了尽快减少库存，又要保证盈利20000元钱，请你告诉小明最多按照标价的多少出售。</t>
  </si>
  <si>
    <t>长方形的周长为12厘米，长是宽的2倍，则长为多少厘米？</t>
  </si>
  <si>
    <t>在红城中学举行的“我爱祖国”征文活动中，七年级和八年级共收到征文118篇，且七年级收到的征文篇数是八年级收到的征文篇数的一半还少2篇，求七年级收到的征文有多少篇？</t>
  </si>
  <si>
    <t>新世纪商场销售A、B两种型号的彩电，A型彩电的售价为每台1000元，B型彩电的售价为每台1500元.2015年元旦节新世纪商场共销售这两种彩电48台，销售额为62000元，2015年元旦节，新世纪商场A型彩电销售多少台？</t>
  </si>
  <si>
    <t>某工厂接受了20天内生产1200台GH型电子产品的总任务。已知每台GH型产品由4个G型装置和3个H型装置配套组成。工厂现有80名工人，每个工人每天能加工6个G型装置或3个H型装置。工厂将所有工人分成两组同时开始加工，每组分别加工一种装置，并要求每天加工的G、H型装置数量正好组成GH型产品。按照这样的生产方式，安排多少名工人生产G型装置能配套？</t>
  </si>
  <si>
    <t>某车间有60个工人，生产甲、乙两种零件，每人每天平均能生产甲种零件24个或乙种零件12个。已知每2个甲种零件和3个乙种零件配成一套，问应分配多少人生产甲种零件，才能使每天生产的这两种零件刚好配套？</t>
  </si>
  <si>
    <t>机械厂加工车间有27名工人，平均每人每天加工小齿轮12个或大齿轮10个，2个大齿轮和3个小齿轮配成一套，问需安排多少名工人加工大齿轮，才能使每天加工的大小齿轮刚好配套？</t>
  </si>
  <si>
    <t>甲、乙两个旅行团同时去苏州旅游，已知乙团人数比甲团人数多4人，甲旅行团的人数是34人，若乙团中儿童人数恰为甲团人数的3倍少2人，某景点成人票价为每张100元，儿童票价是成人票价的六折，两旅行团在此景点所花费的门票费用相同，求甲团儿童人数是多少？</t>
  </si>
  <si>
    <t>恺桐超市购进一批四阶魔方，按进价提高40%后标价，魔方的进价是25元，为了让利于民，增加销量，超市决定打八折（标价的80%）出售，这时每个魔方的售价为28元。超市卖出1/2后，正好赶上双十一促销，商店决定将剩下的魔方以每3个80元的价格出售，很快销售一空，这批魔方超市共获利2800元，求该超市共购进四阶魔方多少个？</t>
  </si>
  <si>
    <t>一杯可乐售价1.8元，商家为了促销，顾客每买一杯可乐获一张奖券，每三张奖券可兑换一杯可乐，则每张奖券相当于多少元？</t>
  </si>
  <si>
    <t>我校在开展“三•五”奉献活动中，准备向镇敬老院捐赠一批帽子，已知买男式帽子用了180元，女式帽子的单价比男式帽子单价多2元。若原计划募捐380元，购买两种帽子共20顶，男式帽子的单价是18元.在这次捐款活动中，由于学生捐款踊跃，实际捐款566元，如果购买两种帽子共30顶，那么女式帽子能买几顶？</t>
  </si>
  <si>
    <t>某车间有甲、乙两个生产小组生产同一产品，在去年的某月，甲组的5名工人完成的总工作量比此月此车间的人均定额的3倍多10件，乙组的6名工人完成的总工作量比此月此车间的人均定额的4倍少10件。如果此月甲组工人完成的人均工作量比乙组工人完成的人均工作量少1件，求此月此车间的人均工作定额。</t>
  </si>
  <si>
    <t>用两台水泵从同一池塘中向外抽水，单开甲泵5小时可抽完，单开乙泵2.5小时便能抽完。如果两台水泵同时抽水，多长时间能把水抽完？</t>
  </si>
  <si>
    <t>某小组计划做一批“中国结”，如果每人做5个，那么比计划多了10个；如果每人做4个，那么比计划少了16个.小组成员共有多少名？</t>
  </si>
  <si>
    <t>小马自驾私家车从A地到B地，驾驶原来的燃油汽车所需的油费108元，驾驶新购买的纯电动汽车所需电费27元。已知行驶1千米，原来燃油汽车所需的油费比新购买的纯电动汽车所需的电费多0.54元，求新购买的纯电动汽车每行驶1千米所需的电费。</t>
  </si>
  <si>
    <t>三个连续偶数的和是-60，那么其中最大的一个是多少？</t>
  </si>
  <si>
    <t>东营市某学校2015年在商场购买甲、乙两种不同足球，购买甲种足球共花费2000元，购买乙种足球共花费1400元，购买甲种足球数量是购买乙种足球数量的2倍，且购买一个乙种足球比购买一个甲种足球多花20元。求购买一个甲种足球需多少元？</t>
  </si>
  <si>
    <t>一项工程，甲乙两公司合作，12天可以完成，如果甲乙两公司单独完成此项工程，乙公司所用时间是甲公司的1.5倍，求甲公司单独完成这项工程，需多少天？</t>
  </si>
  <si>
    <t>有一些相同的房间需要粉刷墙面。一天3名一级技工去粉刷8个房间，结果其中有40墙面未来得及粉刷；同样时间内5名二级技工刚好粉刷了10个房间，每名一级技工比二级技工一天多粉刷20墙面。一级技工每人每天粉刷多少墙面？</t>
  </si>
  <si>
    <t>某工程承包方指定由甲、乙两个工程队完成某项工程，若由甲工程队单独做需要40天完成，乙工程队单独完成该工程需要80天。如果工程承包方要求乙工程队的工作时间不能超过30天，要完成该工程，甲工程队至少要工作多少天？</t>
  </si>
  <si>
    <t>东北大米主要种植于黑龙江省、吉林省、辽宁省的广大平原地区，种植在极其肥沃的黑土地中，吸收了足够的氮、磷、钾等多种矿物元素，阳光雨露充足，又有纯净无污染的灌溉用水，生长周期比较长，一般五个月左右。东北大米颗粒饱满，质地坚硬，色泽清白透明；饭粒油亮，香味浓郁；蒸煮后出饭率高，粘性较小，米质较脆。刘阿姨到超市购买东北大米，第一次按原价购买，用了105元。几天后，遇上这种大米8折出售，她用140元又买了一些，两次共购买了40kg。这种东北大米的原价是多少？</t>
  </si>
  <si>
    <t>某商场购进甲、乙两种空调，已知一台甲种空调的进价比一台乙种空调少0.3万元；用20万元购进的甲种空调的数量是用40万元购进的乙种空调的数量的2倍，则甲种空调每台的进价是多少万元？</t>
  </si>
  <si>
    <t>元旦期间，“新世纪百货”进行换季打折销售活动。简爽同学以8折的优惠价购买了一件运动服节省了18元，那么他购买这件衣服实际用了多少元？</t>
  </si>
  <si>
    <t>某商家用1200元购进了一批T恤，上市后很快售完，商家又用2800元购进了第二批这种T恤，所购数量是第一批购进量的2倍，但单价贵了5元。该商家购进的第一批T恤是多少件？</t>
  </si>
  <si>
    <t>某商店在一天内以每件60元的价格卖出A、B两种型号衣服，其中A型号20件，B型号25件，A型号衣服每件盈利25%，B型号衣服每件亏损20%，商店卖的A型号衣服进价多少？</t>
  </si>
  <si>
    <t>认知层级：</t>
    <phoneticPr fontId="3" type="noConversion"/>
  </si>
  <si>
    <t>情境复杂度：</t>
    <phoneticPr fontId="3" type="noConversion"/>
  </si>
  <si>
    <t>知识整合度：</t>
    <phoneticPr fontId="3" type="noConversion"/>
  </si>
  <si>
    <t>有一根钢管长12米，要锯成两段，使第一段比第二段短2米，第二段长多少米？</t>
    <phoneticPr fontId="1" type="noConversion"/>
  </si>
  <si>
    <t>评分员1认知层级：</t>
    <phoneticPr fontId="3" type="noConversion"/>
  </si>
  <si>
    <t>评分员2</t>
    <phoneticPr fontId="1" type="noConversion"/>
  </si>
  <si>
    <t>评分员3</t>
    <phoneticPr fontId="1" type="noConversion"/>
  </si>
  <si>
    <t>评分员1情境复杂度：</t>
    <phoneticPr fontId="3" type="noConversion"/>
  </si>
  <si>
    <t>评分员1知识整合度：</t>
    <phoneticPr fontId="3" type="noConversion"/>
  </si>
  <si>
    <t>评分员1运算与思维要求</t>
    <phoneticPr fontId="3" type="noConversion"/>
  </si>
  <si>
    <t>总分</t>
    <phoneticPr fontId="3" type="noConversion"/>
  </si>
  <si>
    <t>运算与思维要求：</t>
    <phoneticPr fontId="3" type="noConversion"/>
  </si>
  <si>
    <t>评分员1</t>
    <phoneticPr fontId="3" type="noConversion"/>
  </si>
  <si>
    <t>评分员2</t>
    <phoneticPr fontId="3" type="noConversion"/>
  </si>
  <si>
    <t>评分员3</t>
    <phoneticPr fontId="3" type="noConversion"/>
  </si>
  <si>
    <t>sum</t>
    <phoneticPr fontId="1" type="noConversion"/>
  </si>
  <si>
    <t>平均分</t>
    <phoneticPr fontId="3" type="noConversion"/>
  </si>
  <si>
    <t>average</t>
    <phoneticPr fontId="1" type="noConversion"/>
  </si>
  <si>
    <t>认知层级</t>
    <phoneticPr fontId="1" type="noConversion"/>
  </si>
  <si>
    <t>情景复杂度</t>
    <phoneticPr fontId="1" type="noConversion"/>
  </si>
  <si>
    <t>知识整合度</t>
    <phoneticPr fontId="1" type="noConversion"/>
  </si>
  <si>
    <t>运算与思维要求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</si>
</sst>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b/>
      <sz val="11"/>
      <name val="宋体"/>
      <family val="3"/>
      <charset val="134"/>
    </font>
    <font>
      <sz val="9"/>
      <name val="宋体"/>
      <family val="2"/>
      <charset val="134"/>
      <scheme val="minor"/>
    </font>
    <font>
      <b/>
      <sz val="11"/>
      <color theme="1"/>
      <name val="宋体"/>
      <family val="3"/>
      <charset val="134"/>
      <scheme val="minor"/>
    </font>
  </fonts>
  <fills count="6">
    <fill>
      <patternFill patternType="none"/>
    </fill>
    <fill>
      <patternFill patternType="gray125"/>
    </fill>
    <fill>
      <patternFill patternType="solid">
        <fgColor them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24">
    <xf numFmtId="0" fontId="0" fillId="0" borderId="0" xfId="0"/>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0" fillId="0" borderId="0" xfId="0" applyAlignment="1">
      <alignment vertical="center"/>
    </xf>
    <xf numFmtId="0" fontId="4" fillId="0" borderId="0" xfId="0" applyFont="1" applyAlignment="1">
      <alignment wrapText="1"/>
    </xf>
    <xf numFmtId="0" fontId="0" fillId="3" borderId="1" xfId="0" applyFill="1" applyBorder="1" applyAlignment="1">
      <alignment wrapText="1"/>
    </xf>
    <xf numFmtId="0" fontId="0" fillId="3" borderId="1" xfId="0" applyFill="1" applyBorder="1"/>
    <xf numFmtId="0" fontId="0" fillId="2" borderId="1" xfId="0" applyFill="1" applyBorder="1" applyAlignment="1">
      <alignment wrapText="1"/>
    </xf>
    <xf numFmtId="0" fontId="0" fillId="2" borderId="1" xfId="0" applyFill="1" applyBorder="1"/>
    <xf numFmtId="0" fontId="0" fillId="5" borderId="1" xfId="0" applyFill="1" applyBorder="1" applyAlignment="1">
      <alignment wrapText="1"/>
    </xf>
    <xf numFmtId="0" fontId="0" fillId="5" borderId="1" xfId="0" applyFill="1" applyBorder="1"/>
    <xf numFmtId="0" fontId="0" fillId="4" borderId="1" xfId="0" applyFill="1" applyBorder="1" applyAlignment="1">
      <alignment wrapText="1"/>
    </xf>
    <xf numFmtId="0" fontId="0" fillId="4" borderId="1" xfId="0" applyFill="1" applyBorder="1"/>
    <xf numFmtId="0" fontId="2" fillId="0" borderId="0" xfId="0" applyFont="1" applyAlignment="1">
      <alignment horizontal="center" vertical="top" wrapText="1"/>
    </xf>
    <xf numFmtId="0" fontId="0" fillId="0" borderId="1" xfId="0" applyBorder="1"/>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4" fillId="0" borderId="1" xfId="0" applyFont="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0" fillId="0" borderId="0" xfId="0" applyFill="1" applyBorder="1"/>
  </cellXfs>
  <cellStyles count="1">
    <cellStyle name="常规"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23"/>
  <sheetViews>
    <sheetView topLeftCell="E517" zoomScaleNormal="100" workbookViewId="0">
      <selection activeCell="R523" sqref="R523"/>
    </sheetView>
  </sheetViews>
  <sheetFormatPr defaultRowHeight="13.5" x14ac:dyDescent="0.3"/>
  <cols>
    <col min="4" max="4" width="30.86328125" customWidth="1"/>
    <col min="5" max="5" width="51.796875" style="5" customWidth="1"/>
    <col min="18" max="18" width="10.53125" customWidth="1"/>
  </cols>
  <sheetData>
    <row r="1" spans="1:21" s="4" customFormat="1" ht="92.45" customHeight="1" x14ac:dyDescent="0.3">
      <c r="A1" s="15"/>
      <c r="B1" s="1" t="s">
        <v>0</v>
      </c>
      <c r="C1" s="1" t="s">
        <v>1</v>
      </c>
      <c r="D1" s="1" t="s">
        <v>2</v>
      </c>
      <c r="E1" s="2" t="s">
        <v>3</v>
      </c>
      <c r="F1" s="16" t="s">
        <v>543</v>
      </c>
      <c r="G1" s="16" t="s">
        <v>544</v>
      </c>
      <c r="H1" s="16" t="s">
        <v>545</v>
      </c>
      <c r="I1" s="17" t="s">
        <v>546</v>
      </c>
      <c r="J1" s="17" t="s">
        <v>544</v>
      </c>
      <c r="K1" s="17" t="s">
        <v>545</v>
      </c>
      <c r="L1" s="18" t="s">
        <v>547</v>
      </c>
      <c r="M1" s="18" t="s">
        <v>544</v>
      </c>
      <c r="N1" s="18" t="s">
        <v>545</v>
      </c>
      <c r="O1" s="19" t="s">
        <v>548</v>
      </c>
      <c r="P1" s="19" t="s">
        <v>544</v>
      </c>
      <c r="Q1" s="19" t="s">
        <v>545</v>
      </c>
      <c r="R1" s="22" t="s">
        <v>557</v>
      </c>
      <c r="S1" s="22" t="s">
        <v>558</v>
      </c>
      <c r="T1" s="22" t="s">
        <v>559</v>
      </c>
      <c r="U1" s="22" t="s">
        <v>560</v>
      </c>
    </row>
    <row r="2" spans="1:21" ht="81" x14ac:dyDescent="0.3">
      <c r="A2" s="15">
        <v>8918</v>
      </c>
      <c r="B2" s="15">
        <v>10010</v>
      </c>
      <c r="C2" s="15">
        <v>1</v>
      </c>
      <c r="D2" s="15" t="s">
        <v>4</v>
      </c>
      <c r="E2" s="20" t="s">
        <v>5</v>
      </c>
      <c r="F2" s="9">
        <v>3</v>
      </c>
      <c r="G2" s="9">
        <v>4</v>
      </c>
      <c r="H2" s="8">
        <v>4</v>
      </c>
      <c r="I2" s="7">
        <v>3</v>
      </c>
      <c r="J2" s="7">
        <v>3</v>
      </c>
      <c r="K2" s="6">
        <v>3</v>
      </c>
      <c r="L2" s="13">
        <v>2</v>
      </c>
      <c r="M2" s="13">
        <v>1</v>
      </c>
      <c r="N2" s="12">
        <v>3</v>
      </c>
      <c r="O2" s="11">
        <v>4</v>
      </c>
      <c r="P2" s="11">
        <v>3</v>
      </c>
      <c r="Q2" s="10">
        <v>4</v>
      </c>
      <c r="R2" s="15">
        <f>AVERAGE(F2:H2)</f>
        <v>3.6666666666666665</v>
      </c>
      <c r="S2" s="15">
        <f>AVERAGE(I2:K2)</f>
        <v>3</v>
      </c>
      <c r="T2" s="15">
        <f>AVERAGE(L2:N2)</f>
        <v>2</v>
      </c>
      <c r="U2" s="15">
        <f>AVERAGE(O2:Q2)</f>
        <v>3.6666666666666665</v>
      </c>
    </row>
    <row r="3" spans="1:21" ht="54" x14ac:dyDescent="0.3">
      <c r="A3" s="15">
        <v>2945</v>
      </c>
      <c r="B3" s="15">
        <v>12690</v>
      </c>
      <c r="C3" s="15">
        <v>1</v>
      </c>
      <c r="D3" s="15" t="s">
        <v>6</v>
      </c>
      <c r="E3" s="20" t="s">
        <v>7</v>
      </c>
      <c r="F3" s="15">
        <v>3</v>
      </c>
      <c r="G3" s="15">
        <v>4</v>
      </c>
      <c r="H3" s="21">
        <v>4</v>
      </c>
      <c r="I3" s="15">
        <v>3</v>
      </c>
      <c r="J3" s="15">
        <v>1</v>
      </c>
      <c r="K3" s="21">
        <v>3</v>
      </c>
      <c r="L3" s="15">
        <v>2</v>
      </c>
      <c r="M3" s="15">
        <v>3</v>
      </c>
      <c r="N3" s="21">
        <v>3</v>
      </c>
      <c r="O3" s="15">
        <v>4</v>
      </c>
      <c r="P3" s="15">
        <v>4</v>
      </c>
      <c r="Q3" s="21">
        <v>4</v>
      </c>
      <c r="R3" s="15">
        <f t="shared" ref="R3:R66" si="0">AVERAGE(F3:H3)</f>
        <v>3.6666666666666665</v>
      </c>
      <c r="S3" s="15">
        <f t="shared" ref="S3:S66" si="1">AVERAGE(I3:K3)</f>
        <v>2.3333333333333335</v>
      </c>
      <c r="T3" s="15">
        <f t="shared" ref="T3:T66" si="2">AVERAGE(L3:N3)</f>
        <v>2.6666666666666665</v>
      </c>
      <c r="U3" s="15">
        <f t="shared" ref="U3:U66" si="3">AVERAGE(O3:Q3)</f>
        <v>4</v>
      </c>
    </row>
    <row r="4" spans="1:21" ht="27" x14ac:dyDescent="0.3">
      <c r="A4" s="15">
        <v>4074</v>
      </c>
      <c r="B4" s="15">
        <v>10774</v>
      </c>
      <c r="C4" s="15">
        <v>1</v>
      </c>
      <c r="D4" s="15" t="s">
        <v>4</v>
      </c>
      <c r="E4" s="20" t="s">
        <v>8</v>
      </c>
      <c r="F4" s="15">
        <v>3</v>
      </c>
      <c r="G4" s="15">
        <v>3</v>
      </c>
      <c r="H4" s="21">
        <v>3</v>
      </c>
      <c r="I4" s="15">
        <v>3</v>
      </c>
      <c r="J4" s="15">
        <v>3</v>
      </c>
      <c r="K4" s="21">
        <v>3</v>
      </c>
      <c r="L4" s="15">
        <v>1</v>
      </c>
      <c r="M4" s="15">
        <v>3</v>
      </c>
      <c r="N4" s="21">
        <v>1</v>
      </c>
      <c r="O4" s="15">
        <v>4</v>
      </c>
      <c r="P4" s="15">
        <v>3</v>
      </c>
      <c r="Q4" s="21">
        <v>3</v>
      </c>
      <c r="R4" s="15">
        <f t="shared" si="0"/>
        <v>3</v>
      </c>
      <c r="S4" s="15">
        <f t="shared" si="1"/>
        <v>3</v>
      </c>
      <c r="T4" s="15">
        <f t="shared" si="2"/>
        <v>1.6666666666666667</v>
      </c>
      <c r="U4" s="15">
        <f t="shared" si="3"/>
        <v>3.3333333333333335</v>
      </c>
    </row>
    <row r="5" spans="1:21" ht="40.5" x14ac:dyDescent="0.3">
      <c r="A5" s="15">
        <v>7072</v>
      </c>
      <c r="B5" s="15">
        <v>14308</v>
      </c>
      <c r="C5" s="15">
        <v>1</v>
      </c>
      <c r="D5" s="15" t="s">
        <v>4</v>
      </c>
      <c r="E5" s="20" t="s">
        <v>9</v>
      </c>
      <c r="F5" s="15">
        <v>3</v>
      </c>
      <c r="G5" s="15">
        <v>2</v>
      </c>
      <c r="H5" s="21">
        <v>3</v>
      </c>
      <c r="I5" s="15">
        <v>3</v>
      </c>
      <c r="J5" s="15">
        <v>3</v>
      </c>
      <c r="K5" s="21">
        <v>3</v>
      </c>
      <c r="L5" s="15">
        <v>1</v>
      </c>
      <c r="M5" s="15">
        <v>3</v>
      </c>
      <c r="N5" s="21">
        <v>3</v>
      </c>
      <c r="O5" s="15">
        <v>4</v>
      </c>
      <c r="P5" s="15">
        <v>2</v>
      </c>
      <c r="Q5" s="21">
        <v>3</v>
      </c>
      <c r="R5" s="15">
        <f t="shared" si="0"/>
        <v>2.6666666666666665</v>
      </c>
      <c r="S5" s="15">
        <f t="shared" si="1"/>
        <v>3</v>
      </c>
      <c r="T5" s="15">
        <f t="shared" si="2"/>
        <v>2.3333333333333335</v>
      </c>
      <c r="U5" s="15">
        <f t="shared" si="3"/>
        <v>3</v>
      </c>
    </row>
    <row r="6" spans="1:21" ht="27" x14ac:dyDescent="0.3">
      <c r="A6" s="15">
        <v>12130</v>
      </c>
      <c r="B6" s="15">
        <v>14420</v>
      </c>
      <c r="C6" s="15">
        <v>1</v>
      </c>
      <c r="D6" s="15" t="s">
        <v>4</v>
      </c>
      <c r="E6" s="20" t="s">
        <v>10</v>
      </c>
      <c r="F6" s="15">
        <v>3</v>
      </c>
      <c r="G6" s="15">
        <v>3</v>
      </c>
      <c r="H6" s="21">
        <v>3</v>
      </c>
      <c r="I6" s="15">
        <v>3</v>
      </c>
      <c r="J6" s="15">
        <v>1</v>
      </c>
      <c r="K6" s="21">
        <v>2</v>
      </c>
      <c r="L6" s="15">
        <v>2</v>
      </c>
      <c r="M6" s="15">
        <v>1</v>
      </c>
      <c r="N6" s="21">
        <v>3</v>
      </c>
      <c r="O6" s="15">
        <v>4</v>
      </c>
      <c r="P6" s="15">
        <v>3</v>
      </c>
      <c r="Q6" s="21">
        <v>3</v>
      </c>
      <c r="R6" s="15">
        <f t="shared" si="0"/>
        <v>3</v>
      </c>
      <c r="S6" s="15">
        <f t="shared" si="1"/>
        <v>2</v>
      </c>
      <c r="T6" s="15">
        <f t="shared" si="2"/>
        <v>2</v>
      </c>
      <c r="U6" s="15">
        <f t="shared" si="3"/>
        <v>3.3333333333333335</v>
      </c>
    </row>
    <row r="7" spans="1:21" ht="94.5" x14ac:dyDescent="0.3">
      <c r="A7" s="15">
        <v>14465</v>
      </c>
      <c r="B7" s="15">
        <v>13257</v>
      </c>
      <c r="C7" s="15">
        <v>1</v>
      </c>
      <c r="D7" s="15" t="s">
        <v>11</v>
      </c>
      <c r="E7" s="20" t="s">
        <v>12</v>
      </c>
      <c r="F7" s="15">
        <v>4</v>
      </c>
      <c r="G7" s="15">
        <v>4</v>
      </c>
      <c r="H7" s="21">
        <v>4</v>
      </c>
      <c r="I7" s="15">
        <v>5</v>
      </c>
      <c r="J7" s="15">
        <v>3</v>
      </c>
      <c r="K7" s="21">
        <v>5</v>
      </c>
      <c r="L7" s="15">
        <v>2</v>
      </c>
      <c r="M7" s="15">
        <v>1</v>
      </c>
      <c r="N7" s="21">
        <v>4</v>
      </c>
      <c r="O7" s="15">
        <v>4</v>
      </c>
      <c r="P7" s="15">
        <v>4</v>
      </c>
      <c r="Q7" s="21">
        <v>4</v>
      </c>
      <c r="R7" s="15">
        <f t="shared" si="0"/>
        <v>4</v>
      </c>
      <c r="S7" s="15">
        <f t="shared" si="1"/>
        <v>4.333333333333333</v>
      </c>
      <c r="T7" s="15">
        <f t="shared" si="2"/>
        <v>2.3333333333333335</v>
      </c>
      <c r="U7" s="15">
        <f t="shared" si="3"/>
        <v>4</v>
      </c>
    </row>
    <row r="8" spans="1:21" ht="54" x14ac:dyDescent="0.3">
      <c r="A8" s="15">
        <v>2994</v>
      </c>
      <c r="B8" s="15">
        <v>11586</v>
      </c>
      <c r="C8" s="15">
        <v>1</v>
      </c>
      <c r="D8" s="15" t="s">
        <v>13</v>
      </c>
      <c r="E8" s="20" t="s">
        <v>14</v>
      </c>
      <c r="F8" s="15">
        <v>3</v>
      </c>
      <c r="G8" s="15">
        <v>4</v>
      </c>
      <c r="H8" s="21">
        <v>4</v>
      </c>
      <c r="I8" s="15">
        <v>3</v>
      </c>
      <c r="J8" s="15">
        <v>3</v>
      </c>
      <c r="K8" s="21">
        <v>4</v>
      </c>
      <c r="L8" s="15">
        <v>2</v>
      </c>
      <c r="M8" s="15">
        <v>3</v>
      </c>
      <c r="N8" s="21">
        <v>4</v>
      </c>
      <c r="O8" s="15">
        <v>4</v>
      </c>
      <c r="P8" s="15">
        <v>4</v>
      </c>
      <c r="Q8" s="21">
        <v>4</v>
      </c>
      <c r="R8" s="15">
        <f t="shared" si="0"/>
        <v>3.6666666666666665</v>
      </c>
      <c r="S8" s="15">
        <f t="shared" si="1"/>
        <v>3.3333333333333335</v>
      </c>
      <c r="T8" s="15">
        <f t="shared" si="2"/>
        <v>3</v>
      </c>
      <c r="U8" s="15">
        <f t="shared" si="3"/>
        <v>4</v>
      </c>
    </row>
    <row r="9" spans="1:21" ht="54" x14ac:dyDescent="0.3">
      <c r="A9" s="15">
        <v>11236</v>
      </c>
      <c r="B9" s="15">
        <v>12637</v>
      </c>
      <c r="C9" s="15">
        <v>1</v>
      </c>
      <c r="D9" s="15" t="s">
        <v>4</v>
      </c>
      <c r="E9" s="20" t="s">
        <v>15</v>
      </c>
      <c r="F9" s="15">
        <v>3</v>
      </c>
      <c r="G9" s="15">
        <v>2</v>
      </c>
      <c r="H9" s="21">
        <v>3</v>
      </c>
      <c r="I9" s="15">
        <v>4</v>
      </c>
      <c r="J9" s="15">
        <v>3</v>
      </c>
      <c r="K9" s="21">
        <v>4</v>
      </c>
      <c r="L9" s="15">
        <v>2</v>
      </c>
      <c r="M9" s="15">
        <v>1</v>
      </c>
      <c r="N9" s="21">
        <v>3</v>
      </c>
      <c r="O9" s="15">
        <v>3</v>
      </c>
      <c r="P9" s="15">
        <v>3</v>
      </c>
      <c r="Q9" s="21">
        <v>4</v>
      </c>
      <c r="R9" s="15">
        <f t="shared" si="0"/>
        <v>2.6666666666666665</v>
      </c>
      <c r="S9" s="15">
        <f t="shared" si="1"/>
        <v>3.6666666666666665</v>
      </c>
      <c r="T9" s="15">
        <f t="shared" si="2"/>
        <v>2</v>
      </c>
      <c r="U9" s="15">
        <f t="shared" si="3"/>
        <v>3.3333333333333335</v>
      </c>
    </row>
    <row r="10" spans="1:21" ht="40.5" x14ac:dyDescent="0.3">
      <c r="A10" s="15">
        <v>15485</v>
      </c>
      <c r="B10" s="15">
        <v>14446</v>
      </c>
      <c r="C10" s="15">
        <v>1</v>
      </c>
      <c r="D10" s="15" t="s">
        <v>4</v>
      </c>
      <c r="E10" s="20" t="s">
        <v>16</v>
      </c>
      <c r="F10" s="15">
        <v>3</v>
      </c>
      <c r="G10" s="15">
        <v>3</v>
      </c>
      <c r="H10" s="21">
        <v>4</v>
      </c>
      <c r="I10" s="15">
        <v>3</v>
      </c>
      <c r="J10" s="15">
        <v>3</v>
      </c>
      <c r="K10" s="21">
        <v>3</v>
      </c>
      <c r="L10" s="15">
        <v>3</v>
      </c>
      <c r="M10" s="15">
        <v>3</v>
      </c>
      <c r="N10" s="21">
        <v>3</v>
      </c>
      <c r="O10" s="15">
        <v>3</v>
      </c>
      <c r="P10" s="15">
        <v>2</v>
      </c>
      <c r="Q10" s="21">
        <v>4</v>
      </c>
      <c r="R10" s="15">
        <f t="shared" si="0"/>
        <v>3.3333333333333335</v>
      </c>
      <c r="S10" s="15">
        <f t="shared" si="1"/>
        <v>3</v>
      </c>
      <c r="T10" s="15">
        <f t="shared" si="2"/>
        <v>3</v>
      </c>
      <c r="U10" s="15">
        <f t="shared" si="3"/>
        <v>3</v>
      </c>
    </row>
    <row r="11" spans="1:21" ht="54" x14ac:dyDescent="0.3">
      <c r="A11" s="15">
        <v>13182</v>
      </c>
      <c r="B11" s="15">
        <v>12223</v>
      </c>
      <c r="C11" s="15">
        <v>1</v>
      </c>
      <c r="D11" s="15" t="s">
        <v>4</v>
      </c>
      <c r="E11" s="20" t="s">
        <v>17</v>
      </c>
      <c r="F11" s="15">
        <v>3</v>
      </c>
      <c r="G11" s="15">
        <v>3</v>
      </c>
      <c r="H11" s="21">
        <v>4</v>
      </c>
      <c r="I11" s="15">
        <v>3</v>
      </c>
      <c r="J11" s="15">
        <v>2</v>
      </c>
      <c r="K11" s="21">
        <v>4</v>
      </c>
      <c r="L11" s="15">
        <v>2</v>
      </c>
      <c r="M11" s="15">
        <v>1</v>
      </c>
      <c r="N11" s="21">
        <v>3</v>
      </c>
      <c r="O11" s="15">
        <v>4</v>
      </c>
      <c r="P11" s="15">
        <v>3</v>
      </c>
      <c r="Q11" s="21">
        <v>4</v>
      </c>
      <c r="R11" s="15">
        <f t="shared" si="0"/>
        <v>3.3333333333333335</v>
      </c>
      <c r="S11" s="15">
        <f t="shared" si="1"/>
        <v>3</v>
      </c>
      <c r="T11" s="15">
        <f t="shared" si="2"/>
        <v>2</v>
      </c>
      <c r="U11" s="15">
        <f t="shared" si="3"/>
        <v>3.6666666666666665</v>
      </c>
    </row>
    <row r="12" spans="1:21" ht="81" x14ac:dyDescent="0.3">
      <c r="A12" s="15">
        <v>4167</v>
      </c>
      <c r="B12" s="15">
        <v>12205</v>
      </c>
      <c r="C12" s="15">
        <v>1</v>
      </c>
      <c r="D12" s="15" t="s">
        <v>4</v>
      </c>
      <c r="E12" s="20" t="s">
        <v>18</v>
      </c>
      <c r="F12" s="15">
        <v>4</v>
      </c>
      <c r="G12" s="15">
        <v>4</v>
      </c>
      <c r="H12" s="21">
        <v>4</v>
      </c>
      <c r="I12" s="15">
        <v>3</v>
      </c>
      <c r="J12" s="15">
        <v>1</v>
      </c>
      <c r="K12" s="21">
        <v>3</v>
      </c>
      <c r="L12" s="15">
        <v>2</v>
      </c>
      <c r="M12" s="15">
        <v>3</v>
      </c>
      <c r="N12" s="21">
        <v>5</v>
      </c>
      <c r="O12" s="15">
        <v>4</v>
      </c>
      <c r="P12" s="15">
        <v>4</v>
      </c>
      <c r="Q12" s="21">
        <v>4</v>
      </c>
      <c r="R12" s="15">
        <f t="shared" si="0"/>
        <v>4</v>
      </c>
      <c r="S12" s="15">
        <f t="shared" si="1"/>
        <v>2.3333333333333335</v>
      </c>
      <c r="T12" s="15">
        <f t="shared" si="2"/>
        <v>3.3333333333333335</v>
      </c>
      <c r="U12" s="15">
        <f t="shared" si="3"/>
        <v>4</v>
      </c>
    </row>
    <row r="13" spans="1:21" ht="54" x14ac:dyDescent="0.3">
      <c r="A13" s="15">
        <v>1885</v>
      </c>
      <c r="B13" s="15">
        <v>14107</v>
      </c>
      <c r="C13" s="15">
        <v>1</v>
      </c>
      <c r="D13" s="15" t="s">
        <v>11</v>
      </c>
      <c r="E13" s="20" t="s">
        <v>19</v>
      </c>
      <c r="F13" s="15">
        <v>3</v>
      </c>
      <c r="G13" s="15">
        <v>3</v>
      </c>
      <c r="H13" s="21">
        <v>3</v>
      </c>
      <c r="I13" s="15">
        <v>3</v>
      </c>
      <c r="J13" s="15">
        <v>1</v>
      </c>
      <c r="K13" s="21">
        <v>3</v>
      </c>
      <c r="L13" s="15">
        <v>1</v>
      </c>
      <c r="M13" s="15">
        <v>1</v>
      </c>
      <c r="N13" s="21">
        <v>3</v>
      </c>
      <c r="O13" s="15">
        <v>3</v>
      </c>
      <c r="P13" s="15">
        <v>3</v>
      </c>
      <c r="Q13" s="21">
        <v>3</v>
      </c>
      <c r="R13" s="15">
        <f t="shared" si="0"/>
        <v>3</v>
      </c>
      <c r="S13" s="15">
        <f t="shared" si="1"/>
        <v>2.3333333333333335</v>
      </c>
      <c r="T13" s="15">
        <f t="shared" si="2"/>
        <v>1.6666666666666667</v>
      </c>
      <c r="U13" s="15">
        <f t="shared" si="3"/>
        <v>3</v>
      </c>
    </row>
    <row r="14" spans="1:21" ht="40.5" x14ac:dyDescent="0.3">
      <c r="A14" s="15">
        <v>12527</v>
      </c>
      <c r="B14" s="15">
        <v>13083</v>
      </c>
      <c r="C14" s="15">
        <v>1</v>
      </c>
      <c r="D14" s="15" t="s">
        <v>11</v>
      </c>
      <c r="E14" s="20" t="s">
        <v>20</v>
      </c>
      <c r="F14" s="15">
        <v>3</v>
      </c>
      <c r="G14" s="15">
        <v>3</v>
      </c>
      <c r="H14" s="21">
        <v>3</v>
      </c>
      <c r="I14" s="15">
        <v>3</v>
      </c>
      <c r="J14" s="15">
        <v>1</v>
      </c>
      <c r="K14" s="21">
        <v>3</v>
      </c>
      <c r="L14" s="15">
        <v>1</v>
      </c>
      <c r="M14" s="15">
        <v>1</v>
      </c>
      <c r="N14" s="21">
        <v>3</v>
      </c>
      <c r="O14" s="15">
        <v>3</v>
      </c>
      <c r="P14" s="15">
        <v>3</v>
      </c>
      <c r="Q14" s="21">
        <v>3</v>
      </c>
      <c r="R14" s="15">
        <f t="shared" si="0"/>
        <v>3</v>
      </c>
      <c r="S14" s="15">
        <f t="shared" si="1"/>
        <v>2.3333333333333335</v>
      </c>
      <c r="T14" s="15">
        <f t="shared" si="2"/>
        <v>1.6666666666666667</v>
      </c>
      <c r="U14" s="15">
        <f t="shared" si="3"/>
        <v>3</v>
      </c>
    </row>
    <row r="15" spans="1:21" ht="67.5" x14ac:dyDescent="0.3">
      <c r="A15" s="15">
        <v>5833</v>
      </c>
      <c r="B15" s="15">
        <v>14592</v>
      </c>
      <c r="C15" s="15">
        <v>1</v>
      </c>
      <c r="D15" s="15" t="s">
        <v>4</v>
      </c>
      <c r="E15" s="20" t="s">
        <v>21</v>
      </c>
      <c r="F15" s="15">
        <v>3</v>
      </c>
      <c r="G15" s="15">
        <v>3</v>
      </c>
      <c r="H15" s="21">
        <v>4</v>
      </c>
      <c r="I15" s="15">
        <v>4</v>
      </c>
      <c r="J15" s="15">
        <v>3</v>
      </c>
      <c r="K15" s="21">
        <v>4</v>
      </c>
      <c r="L15" s="15">
        <v>2</v>
      </c>
      <c r="M15" s="15">
        <v>1</v>
      </c>
      <c r="N15" s="21">
        <v>4</v>
      </c>
      <c r="O15" s="15">
        <v>4</v>
      </c>
      <c r="P15" s="15">
        <v>3</v>
      </c>
      <c r="Q15" s="21">
        <v>4</v>
      </c>
      <c r="R15" s="15">
        <f t="shared" si="0"/>
        <v>3.3333333333333335</v>
      </c>
      <c r="S15" s="15">
        <f t="shared" si="1"/>
        <v>3.6666666666666665</v>
      </c>
      <c r="T15" s="15">
        <f t="shared" si="2"/>
        <v>2.3333333333333335</v>
      </c>
      <c r="U15" s="15">
        <f t="shared" si="3"/>
        <v>3.6666666666666665</v>
      </c>
    </row>
    <row r="16" spans="1:21" ht="67.5" x14ac:dyDescent="0.3">
      <c r="A16" s="15">
        <v>9805</v>
      </c>
      <c r="B16" s="15">
        <v>11265</v>
      </c>
      <c r="C16" s="15">
        <v>1</v>
      </c>
      <c r="D16" s="15" t="s">
        <v>4</v>
      </c>
      <c r="E16" s="20" t="s">
        <v>22</v>
      </c>
      <c r="F16" s="15">
        <v>4</v>
      </c>
      <c r="G16" s="15">
        <v>4</v>
      </c>
      <c r="H16" s="21">
        <v>4</v>
      </c>
      <c r="I16" s="15">
        <v>3</v>
      </c>
      <c r="J16" s="15">
        <v>3</v>
      </c>
      <c r="K16" s="21">
        <v>4</v>
      </c>
      <c r="L16" s="15">
        <v>2</v>
      </c>
      <c r="M16" s="15">
        <v>3</v>
      </c>
      <c r="N16" s="21">
        <v>3</v>
      </c>
      <c r="O16" s="15">
        <v>4</v>
      </c>
      <c r="P16" s="15">
        <v>4</v>
      </c>
      <c r="Q16" s="21">
        <v>4</v>
      </c>
      <c r="R16" s="15">
        <f t="shared" si="0"/>
        <v>4</v>
      </c>
      <c r="S16" s="15">
        <f t="shared" si="1"/>
        <v>3.3333333333333335</v>
      </c>
      <c r="T16" s="15">
        <f t="shared" si="2"/>
        <v>2.6666666666666665</v>
      </c>
      <c r="U16" s="15">
        <f t="shared" si="3"/>
        <v>4</v>
      </c>
    </row>
    <row r="17" spans="1:21" ht="40.5" x14ac:dyDescent="0.3">
      <c r="A17" s="15">
        <v>15685</v>
      </c>
      <c r="B17" s="15">
        <v>12900</v>
      </c>
      <c r="C17" s="15">
        <v>1</v>
      </c>
      <c r="D17" s="15" t="s">
        <v>23</v>
      </c>
      <c r="E17" s="20" t="s">
        <v>24</v>
      </c>
      <c r="F17" s="15">
        <v>3</v>
      </c>
      <c r="G17" s="15">
        <v>4</v>
      </c>
      <c r="H17" s="21">
        <v>4</v>
      </c>
      <c r="I17" s="15">
        <v>1</v>
      </c>
      <c r="J17" s="15">
        <v>1</v>
      </c>
      <c r="K17" s="21">
        <v>3</v>
      </c>
      <c r="L17" s="15">
        <v>2</v>
      </c>
      <c r="M17" s="15">
        <v>1</v>
      </c>
      <c r="N17" s="21">
        <v>4</v>
      </c>
      <c r="O17" s="15">
        <v>4</v>
      </c>
      <c r="P17" s="15">
        <v>4</v>
      </c>
      <c r="Q17" s="21">
        <v>4</v>
      </c>
      <c r="R17" s="15">
        <f t="shared" si="0"/>
        <v>3.6666666666666665</v>
      </c>
      <c r="S17" s="15">
        <f t="shared" si="1"/>
        <v>1.6666666666666667</v>
      </c>
      <c r="T17" s="15">
        <f t="shared" si="2"/>
        <v>2.3333333333333335</v>
      </c>
      <c r="U17" s="15">
        <f t="shared" si="3"/>
        <v>4</v>
      </c>
    </row>
    <row r="18" spans="1:21" ht="27" x14ac:dyDescent="0.3">
      <c r="A18" s="15">
        <v>7797</v>
      </c>
      <c r="B18" s="15">
        <v>11914</v>
      </c>
      <c r="C18" s="15">
        <v>1</v>
      </c>
      <c r="D18" s="15" t="s">
        <v>25</v>
      </c>
      <c r="E18" s="20" t="s">
        <v>26</v>
      </c>
      <c r="F18" s="15">
        <v>3</v>
      </c>
      <c r="G18" s="15">
        <v>3</v>
      </c>
      <c r="H18" s="21">
        <v>4</v>
      </c>
      <c r="I18" s="15">
        <v>1</v>
      </c>
      <c r="J18" s="15">
        <v>1</v>
      </c>
      <c r="K18" s="21">
        <v>3</v>
      </c>
      <c r="L18" s="15">
        <v>2</v>
      </c>
      <c r="M18" s="15">
        <v>1</v>
      </c>
      <c r="N18" s="21">
        <v>3</v>
      </c>
      <c r="O18" s="15">
        <v>4</v>
      </c>
      <c r="P18" s="15">
        <v>3</v>
      </c>
      <c r="Q18" s="21">
        <v>4</v>
      </c>
      <c r="R18" s="15">
        <f t="shared" si="0"/>
        <v>3.3333333333333335</v>
      </c>
      <c r="S18" s="15">
        <f t="shared" si="1"/>
        <v>1.6666666666666667</v>
      </c>
      <c r="T18" s="15">
        <f t="shared" si="2"/>
        <v>2</v>
      </c>
      <c r="U18" s="15">
        <f t="shared" si="3"/>
        <v>3.6666666666666665</v>
      </c>
    </row>
    <row r="19" spans="1:21" ht="54" x14ac:dyDescent="0.3">
      <c r="A19" s="15">
        <v>3651</v>
      </c>
      <c r="B19" s="15">
        <v>11756</v>
      </c>
      <c r="C19" s="15">
        <v>1</v>
      </c>
      <c r="D19" s="15" t="s">
        <v>4</v>
      </c>
      <c r="E19" s="20" t="s">
        <v>27</v>
      </c>
      <c r="F19" s="15">
        <v>3</v>
      </c>
      <c r="G19" s="15">
        <v>3</v>
      </c>
      <c r="H19" s="21">
        <v>4</v>
      </c>
      <c r="I19" s="15">
        <v>3</v>
      </c>
      <c r="J19" s="15">
        <v>3</v>
      </c>
      <c r="K19" s="21">
        <v>3</v>
      </c>
      <c r="L19" s="15">
        <v>3</v>
      </c>
      <c r="M19" s="15">
        <v>3</v>
      </c>
      <c r="N19" s="21">
        <v>3</v>
      </c>
      <c r="O19" s="15">
        <v>4</v>
      </c>
      <c r="P19" s="15">
        <v>3</v>
      </c>
      <c r="Q19" s="21">
        <v>4</v>
      </c>
      <c r="R19" s="15">
        <f t="shared" si="0"/>
        <v>3.3333333333333335</v>
      </c>
      <c r="S19" s="15">
        <f t="shared" si="1"/>
        <v>3</v>
      </c>
      <c r="T19" s="15">
        <f t="shared" si="2"/>
        <v>3</v>
      </c>
      <c r="U19" s="15">
        <f t="shared" si="3"/>
        <v>3.6666666666666665</v>
      </c>
    </row>
    <row r="20" spans="1:21" ht="40.5" x14ac:dyDescent="0.3">
      <c r="A20" s="15">
        <v>79</v>
      </c>
      <c r="B20" s="15">
        <v>14957</v>
      </c>
      <c r="C20" s="15">
        <v>1</v>
      </c>
      <c r="D20" s="15" t="s">
        <v>4</v>
      </c>
      <c r="E20" s="20" t="s">
        <v>28</v>
      </c>
      <c r="F20" s="15">
        <v>3</v>
      </c>
      <c r="G20" s="15">
        <v>3</v>
      </c>
      <c r="H20" s="21">
        <v>4</v>
      </c>
      <c r="I20" s="15">
        <v>3</v>
      </c>
      <c r="J20" s="15">
        <v>1</v>
      </c>
      <c r="K20" s="21">
        <v>3</v>
      </c>
      <c r="L20" s="15">
        <v>2</v>
      </c>
      <c r="M20" s="15">
        <v>1</v>
      </c>
      <c r="N20" s="21">
        <v>3</v>
      </c>
      <c r="O20" s="15">
        <v>4</v>
      </c>
      <c r="P20" s="15">
        <v>3</v>
      </c>
      <c r="Q20" s="21">
        <v>4</v>
      </c>
      <c r="R20" s="15">
        <f t="shared" si="0"/>
        <v>3.3333333333333335</v>
      </c>
      <c r="S20" s="15">
        <f t="shared" si="1"/>
        <v>2.3333333333333335</v>
      </c>
      <c r="T20" s="15">
        <f t="shared" si="2"/>
        <v>2</v>
      </c>
      <c r="U20" s="15">
        <f t="shared" si="3"/>
        <v>3.6666666666666665</v>
      </c>
    </row>
    <row r="21" spans="1:21" ht="54" x14ac:dyDescent="0.3">
      <c r="A21" s="15">
        <v>4585</v>
      </c>
      <c r="B21" s="15">
        <v>14973</v>
      </c>
      <c r="C21" s="15">
        <v>1</v>
      </c>
      <c r="D21" s="15" t="s">
        <v>4</v>
      </c>
      <c r="E21" s="20" t="s">
        <v>29</v>
      </c>
      <c r="F21" s="15">
        <v>3</v>
      </c>
      <c r="G21" s="15">
        <v>3</v>
      </c>
      <c r="H21" s="21">
        <v>4</v>
      </c>
      <c r="I21" s="15">
        <v>3</v>
      </c>
      <c r="J21" s="15">
        <v>3</v>
      </c>
      <c r="K21" s="21">
        <v>3</v>
      </c>
      <c r="L21" s="15">
        <v>2</v>
      </c>
      <c r="M21" s="15">
        <v>1</v>
      </c>
      <c r="N21" s="21">
        <v>3</v>
      </c>
      <c r="O21" s="15">
        <v>3</v>
      </c>
      <c r="P21" s="15">
        <v>3</v>
      </c>
      <c r="Q21" s="21">
        <v>4</v>
      </c>
      <c r="R21" s="15">
        <f t="shared" si="0"/>
        <v>3.3333333333333335</v>
      </c>
      <c r="S21" s="15">
        <f t="shared" si="1"/>
        <v>3</v>
      </c>
      <c r="T21" s="15">
        <f t="shared" si="2"/>
        <v>2</v>
      </c>
      <c r="U21" s="15">
        <f t="shared" si="3"/>
        <v>3.3333333333333335</v>
      </c>
    </row>
    <row r="22" spans="1:21" ht="81" x14ac:dyDescent="0.3">
      <c r="A22" s="15">
        <v>6224</v>
      </c>
      <c r="B22" s="15">
        <v>14209</v>
      </c>
      <c r="C22" s="15">
        <v>1</v>
      </c>
      <c r="D22" s="15" t="s">
        <v>4</v>
      </c>
      <c r="E22" s="20" t="s">
        <v>30</v>
      </c>
      <c r="F22" s="15">
        <v>3</v>
      </c>
      <c r="G22" s="15">
        <v>3</v>
      </c>
      <c r="H22" s="21">
        <v>4</v>
      </c>
      <c r="I22" s="15">
        <v>4</v>
      </c>
      <c r="J22" s="15">
        <v>3</v>
      </c>
      <c r="K22" s="21">
        <v>5</v>
      </c>
      <c r="L22" s="15">
        <v>2</v>
      </c>
      <c r="M22" s="15">
        <v>1</v>
      </c>
      <c r="N22" s="21">
        <v>4</v>
      </c>
      <c r="O22" s="15">
        <v>3</v>
      </c>
      <c r="P22" s="15">
        <v>3</v>
      </c>
      <c r="Q22" s="21">
        <v>5</v>
      </c>
      <c r="R22" s="15">
        <f t="shared" si="0"/>
        <v>3.3333333333333335</v>
      </c>
      <c r="S22" s="15">
        <f t="shared" si="1"/>
        <v>4</v>
      </c>
      <c r="T22" s="15">
        <f t="shared" si="2"/>
        <v>2.3333333333333335</v>
      </c>
      <c r="U22" s="15">
        <f t="shared" si="3"/>
        <v>3.6666666666666665</v>
      </c>
    </row>
    <row r="23" spans="1:21" ht="40.5" x14ac:dyDescent="0.3">
      <c r="A23" s="15">
        <v>14228</v>
      </c>
      <c r="B23" s="15">
        <v>10179</v>
      </c>
      <c r="C23" s="15">
        <v>1</v>
      </c>
      <c r="D23" s="15" t="s">
        <v>4</v>
      </c>
      <c r="E23" s="20" t="s">
        <v>31</v>
      </c>
      <c r="F23" s="15">
        <v>3</v>
      </c>
      <c r="G23" s="15">
        <v>3</v>
      </c>
      <c r="H23" s="21">
        <v>3</v>
      </c>
      <c r="I23" s="15">
        <v>3</v>
      </c>
      <c r="J23" s="15">
        <v>3</v>
      </c>
      <c r="K23" s="21">
        <v>3</v>
      </c>
      <c r="L23" s="15">
        <v>2</v>
      </c>
      <c r="M23" s="15">
        <v>3</v>
      </c>
      <c r="N23" s="21">
        <v>2</v>
      </c>
      <c r="O23" s="15">
        <v>3</v>
      </c>
      <c r="P23" s="15">
        <v>3</v>
      </c>
      <c r="Q23" s="21">
        <v>2</v>
      </c>
      <c r="R23" s="15">
        <f t="shared" si="0"/>
        <v>3</v>
      </c>
      <c r="S23" s="15">
        <f t="shared" si="1"/>
        <v>3</v>
      </c>
      <c r="T23" s="15">
        <f t="shared" si="2"/>
        <v>2.3333333333333335</v>
      </c>
      <c r="U23" s="15">
        <f t="shared" si="3"/>
        <v>2.6666666666666665</v>
      </c>
    </row>
    <row r="24" spans="1:21" ht="67.5" x14ac:dyDescent="0.3">
      <c r="A24" s="15">
        <v>1800</v>
      </c>
      <c r="B24" s="15">
        <v>12899</v>
      </c>
      <c r="C24" s="15">
        <v>1</v>
      </c>
      <c r="D24" s="15" t="s">
        <v>32</v>
      </c>
      <c r="E24" s="20" t="s">
        <v>33</v>
      </c>
      <c r="F24" s="15">
        <v>4</v>
      </c>
      <c r="G24" s="15">
        <v>3</v>
      </c>
      <c r="H24" s="21">
        <v>4</v>
      </c>
      <c r="I24" s="15">
        <v>3</v>
      </c>
      <c r="J24" s="15">
        <v>3</v>
      </c>
      <c r="K24" s="21">
        <v>3</v>
      </c>
      <c r="L24" s="15">
        <v>2</v>
      </c>
      <c r="M24" s="15">
        <v>1</v>
      </c>
      <c r="N24" s="21">
        <v>2</v>
      </c>
      <c r="O24" s="15">
        <v>3</v>
      </c>
      <c r="P24" s="15">
        <v>3</v>
      </c>
      <c r="Q24" s="21">
        <v>4</v>
      </c>
      <c r="R24" s="15">
        <f t="shared" si="0"/>
        <v>3.6666666666666665</v>
      </c>
      <c r="S24" s="15">
        <f t="shared" si="1"/>
        <v>3</v>
      </c>
      <c r="T24" s="15">
        <f t="shared" si="2"/>
        <v>1.6666666666666667</v>
      </c>
      <c r="U24" s="15">
        <f t="shared" si="3"/>
        <v>3.3333333333333335</v>
      </c>
    </row>
    <row r="25" spans="1:21" ht="40.5" x14ac:dyDescent="0.3">
      <c r="A25" s="15">
        <v>7609</v>
      </c>
      <c r="B25" s="15">
        <v>12773</v>
      </c>
      <c r="C25" s="15">
        <v>1</v>
      </c>
      <c r="D25" s="15" t="s">
        <v>32</v>
      </c>
      <c r="E25" s="20" t="s">
        <v>34</v>
      </c>
      <c r="F25" s="15">
        <v>3</v>
      </c>
      <c r="G25" s="15">
        <v>3</v>
      </c>
      <c r="H25" s="21">
        <v>3</v>
      </c>
      <c r="I25" s="15">
        <v>3</v>
      </c>
      <c r="J25" s="15">
        <v>3</v>
      </c>
      <c r="K25" s="21">
        <v>3</v>
      </c>
      <c r="L25" s="15">
        <v>1</v>
      </c>
      <c r="M25" s="15">
        <v>1</v>
      </c>
      <c r="N25" s="21">
        <v>3</v>
      </c>
      <c r="O25" s="15">
        <v>3</v>
      </c>
      <c r="P25" s="15">
        <v>3</v>
      </c>
      <c r="Q25" s="21">
        <v>4</v>
      </c>
      <c r="R25" s="15">
        <f t="shared" si="0"/>
        <v>3</v>
      </c>
      <c r="S25" s="15">
        <f t="shared" si="1"/>
        <v>3</v>
      </c>
      <c r="T25" s="15">
        <f t="shared" si="2"/>
        <v>1.6666666666666667</v>
      </c>
      <c r="U25" s="15">
        <f t="shared" si="3"/>
        <v>3.3333333333333335</v>
      </c>
    </row>
    <row r="26" spans="1:21" ht="40.5" x14ac:dyDescent="0.3">
      <c r="A26" s="15">
        <v>16432</v>
      </c>
      <c r="B26" s="15">
        <v>10504</v>
      </c>
      <c r="C26" s="15">
        <v>1</v>
      </c>
      <c r="D26" s="15" t="s">
        <v>4</v>
      </c>
      <c r="E26" s="20" t="s">
        <v>35</v>
      </c>
      <c r="F26" s="15">
        <v>3</v>
      </c>
      <c r="G26" s="15">
        <v>3</v>
      </c>
      <c r="H26" s="21">
        <v>3</v>
      </c>
      <c r="I26" s="15">
        <v>3</v>
      </c>
      <c r="J26" s="15">
        <v>3</v>
      </c>
      <c r="K26" s="21">
        <v>3</v>
      </c>
      <c r="L26" s="15">
        <v>2</v>
      </c>
      <c r="M26" s="15">
        <v>3</v>
      </c>
      <c r="N26" s="21">
        <v>3</v>
      </c>
      <c r="O26" s="15">
        <v>4</v>
      </c>
      <c r="P26" s="15">
        <v>3</v>
      </c>
      <c r="Q26" s="21">
        <v>3</v>
      </c>
      <c r="R26" s="15">
        <f t="shared" si="0"/>
        <v>3</v>
      </c>
      <c r="S26" s="15">
        <f t="shared" si="1"/>
        <v>3</v>
      </c>
      <c r="T26" s="15">
        <f t="shared" si="2"/>
        <v>2.6666666666666665</v>
      </c>
      <c r="U26" s="15">
        <f t="shared" si="3"/>
        <v>3.3333333333333335</v>
      </c>
    </row>
    <row r="27" spans="1:21" ht="27" x14ac:dyDescent="0.3">
      <c r="A27" s="15">
        <v>10770</v>
      </c>
      <c r="B27" s="15">
        <v>12489</v>
      </c>
      <c r="C27" s="15">
        <v>1</v>
      </c>
      <c r="D27" s="15" t="s">
        <v>36</v>
      </c>
      <c r="E27" s="20" t="s">
        <v>37</v>
      </c>
      <c r="F27" s="15">
        <v>3</v>
      </c>
      <c r="G27" s="15">
        <v>3</v>
      </c>
      <c r="H27" s="21">
        <v>3</v>
      </c>
      <c r="I27" s="15">
        <v>3</v>
      </c>
      <c r="J27" s="15">
        <v>1</v>
      </c>
      <c r="K27" s="21">
        <v>3</v>
      </c>
      <c r="L27" s="15">
        <v>2</v>
      </c>
      <c r="M27" s="15">
        <v>1</v>
      </c>
      <c r="N27" s="21">
        <v>3</v>
      </c>
      <c r="O27" s="15">
        <v>3</v>
      </c>
      <c r="P27" s="15">
        <v>3</v>
      </c>
      <c r="Q27" s="21">
        <v>3</v>
      </c>
      <c r="R27" s="15">
        <f t="shared" si="0"/>
        <v>3</v>
      </c>
      <c r="S27" s="15">
        <f t="shared" si="1"/>
        <v>2.3333333333333335</v>
      </c>
      <c r="T27" s="15">
        <f t="shared" si="2"/>
        <v>2</v>
      </c>
      <c r="U27" s="15">
        <f t="shared" si="3"/>
        <v>3</v>
      </c>
    </row>
    <row r="28" spans="1:21" ht="67.5" x14ac:dyDescent="0.3">
      <c r="A28" s="15">
        <v>12808</v>
      </c>
      <c r="B28" s="15">
        <v>15092</v>
      </c>
      <c r="C28" s="15">
        <v>1</v>
      </c>
      <c r="D28" s="15" t="s">
        <v>4</v>
      </c>
      <c r="E28" s="20" t="s">
        <v>38</v>
      </c>
      <c r="F28" s="15">
        <v>4</v>
      </c>
      <c r="G28" s="15">
        <v>4</v>
      </c>
      <c r="H28" s="21">
        <v>4</v>
      </c>
      <c r="I28" s="15">
        <v>3</v>
      </c>
      <c r="J28" s="15">
        <v>1</v>
      </c>
      <c r="K28" s="21">
        <v>3</v>
      </c>
      <c r="L28" s="15">
        <v>3</v>
      </c>
      <c r="M28" s="15">
        <v>1</v>
      </c>
      <c r="N28" s="21">
        <v>3</v>
      </c>
      <c r="O28" s="15">
        <v>4</v>
      </c>
      <c r="P28" s="15">
        <v>3</v>
      </c>
      <c r="Q28" s="21">
        <v>4</v>
      </c>
      <c r="R28" s="15">
        <f t="shared" si="0"/>
        <v>4</v>
      </c>
      <c r="S28" s="15">
        <f t="shared" si="1"/>
        <v>2.3333333333333335</v>
      </c>
      <c r="T28" s="15">
        <f t="shared" si="2"/>
        <v>2.3333333333333335</v>
      </c>
      <c r="U28" s="15">
        <f t="shared" si="3"/>
        <v>3.6666666666666665</v>
      </c>
    </row>
    <row r="29" spans="1:21" ht="54" x14ac:dyDescent="0.3">
      <c r="A29" s="15">
        <v>2293</v>
      </c>
      <c r="B29" s="15">
        <v>14073</v>
      </c>
      <c r="C29" s="15">
        <v>1</v>
      </c>
      <c r="D29" s="15" t="s">
        <v>11</v>
      </c>
      <c r="E29" s="20" t="s">
        <v>39</v>
      </c>
      <c r="F29" s="15">
        <v>4</v>
      </c>
      <c r="G29" s="15">
        <v>3</v>
      </c>
      <c r="H29" s="21">
        <v>3</v>
      </c>
      <c r="I29" s="15">
        <v>3</v>
      </c>
      <c r="J29" s="15">
        <v>3</v>
      </c>
      <c r="K29" s="21">
        <v>3</v>
      </c>
      <c r="L29" s="15">
        <v>2</v>
      </c>
      <c r="M29" s="15">
        <v>1</v>
      </c>
      <c r="N29" s="21">
        <v>1</v>
      </c>
      <c r="O29" s="15">
        <v>3</v>
      </c>
      <c r="P29" s="15">
        <v>3</v>
      </c>
      <c r="Q29" s="21">
        <v>3</v>
      </c>
      <c r="R29" s="15">
        <f t="shared" si="0"/>
        <v>3.3333333333333335</v>
      </c>
      <c r="S29" s="15">
        <f t="shared" si="1"/>
        <v>3</v>
      </c>
      <c r="T29" s="15">
        <f t="shared" si="2"/>
        <v>1.3333333333333333</v>
      </c>
      <c r="U29" s="15">
        <f t="shared" si="3"/>
        <v>3</v>
      </c>
    </row>
    <row r="30" spans="1:21" ht="81" x14ac:dyDescent="0.3">
      <c r="A30" s="15">
        <v>599</v>
      </c>
      <c r="B30" s="15">
        <v>11899</v>
      </c>
      <c r="C30" s="15">
        <v>1</v>
      </c>
      <c r="D30" s="15" t="s">
        <v>40</v>
      </c>
      <c r="E30" s="20" t="s">
        <v>41</v>
      </c>
      <c r="F30" s="15">
        <v>4</v>
      </c>
      <c r="G30" s="15">
        <v>4</v>
      </c>
      <c r="H30" s="21">
        <v>4</v>
      </c>
      <c r="I30" s="15">
        <v>4</v>
      </c>
      <c r="J30" s="15">
        <v>3</v>
      </c>
      <c r="K30" s="21">
        <v>3</v>
      </c>
      <c r="L30" s="15">
        <v>2</v>
      </c>
      <c r="M30" s="15">
        <v>3</v>
      </c>
      <c r="N30" s="21">
        <v>3</v>
      </c>
      <c r="O30" s="15">
        <v>3</v>
      </c>
      <c r="P30" s="15">
        <v>3</v>
      </c>
      <c r="Q30" s="21">
        <v>4</v>
      </c>
      <c r="R30" s="15">
        <f t="shared" si="0"/>
        <v>4</v>
      </c>
      <c r="S30" s="15">
        <f t="shared" si="1"/>
        <v>3.3333333333333335</v>
      </c>
      <c r="T30" s="15">
        <f t="shared" si="2"/>
        <v>2.6666666666666665</v>
      </c>
      <c r="U30" s="15">
        <f t="shared" si="3"/>
        <v>3.3333333333333335</v>
      </c>
    </row>
    <row r="31" spans="1:21" ht="108" x14ac:dyDescent="0.3">
      <c r="A31" s="15">
        <v>1145</v>
      </c>
      <c r="B31" s="15">
        <v>10044</v>
      </c>
      <c r="C31" s="15">
        <v>1</v>
      </c>
      <c r="D31" s="15" t="s">
        <v>4</v>
      </c>
      <c r="E31" s="20" t="s">
        <v>42</v>
      </c>
      <c r="F31" s="15">
        <v>4</v>
      </c>
      <c r="G31" s="15">
        <v>4</v>
      </c>
      <c r="H31" s="21">
        <v>4</v>
      </c>
      <c r="I31" s="15">
        <v>3</v>
      </c>
      <c r="J31" s="15">
        <v>3</v>
      </c>
      <c r="K31" s="21">
        <v>5</v>
      </c>
      <c r="L31" s="15">
        <v>2</v>
      </c>
      <c r="M31" s="15">
        <v>1</v>
      </c>
      <c r="N31" s="21">
        <v>3</v>
      </c>
      <c r="O31" s="15">
        <v>4</v>
      </c>
      <c r="P31" s="15">
        <v>3</v>
      </c>
      <c r="Q31" s="21">
        <v>4</v>
      </c>
      <c r="R31" s="15">
        <f t="shared" si="0"/>
        <v>4</v>
      </c>
      <c r="S31" s="15">
        <f t="shared" si="1"/>
        <v>3.6666666666666665</v>
      </c>
      <c r="T31" s="15">
        <f t="shared" si="2"/>
        <v>2</v>
      </c>
      <c r="U31" s="15">
        <f t="shared" si="3"/>
        <v>3.6666666666666665</v>
      </c>
    </row>
    <row r="32" spans="1:21" ht="40.5" x14ac:dyDescent="0.3">
      <c r="A32" s="15">
        <v>11603</v>
      </c>
      <c r="B32" s="15">
        <v>12603</v>
      </c>
      <c r="C32" s="15">
        <v>1</v>
      </c>
      <c r="D32" s="15" t="s">
        <v>4</v>
      </c>
      <c r="E32" s="20" t="s">
        <v>43</v>
      </c>
      <c r="F32" s="15">
        <v>3</v>
      </c>
      <c r="G32" s="15">
        <v>4</v>
      </c>
      <c r="H32" s="21">
        <v>4</v>
      </c>
      <c r="I32" s="15">
        <v>3</v>
      </c>
      <c r="J32" s="15">
        <v>1</v>
      </c>
      <c r="K32" s="21">
        <v>3</v>
      </c>
      <c r="L32" s="15">
        <v>2</v>
      </c>
      <c r="M32" s="15">
        <v>1</v>
      </c>
      <c r="N32" s="21">
        <v>3</v>
      </c>
      <c r="O32" s="15">
        <v>3</v>
      </c>
      <c r="P32" s="15">
        <v>4</v>
      </c>
      <c r="Q32" s="21">
        <v>3</v>
      </c>
      <c r="R32" s="15">
        <f t="shared" si="0"/>
        <v>3.6666666666666665</v>
      </c>
      <c r="S32" s="15">
        <f t="shared" si="1"/>
        <v>2.3333333333333335</v>
      </c>
      <c r="T32" s="15">
        <f t="shared" si="2"/>
        <v>2</v>
      </c>
      <c r="U32" s="15">
        <f t="shared" si="3"/>
        <v>3.3333333333333335</v>
      </c>
    </row>
    <row r="33" spans="1:21" ht="67.5" x14ac:dyDescent="0.3">
      <c r="A33" s="15">
        <v>11240</v>
      </c>
      <c r="B33" s="15">
        <v>12284</v>
      </c>
      <c r="C33" s="15">
        <v>1</v>
      </c>
      <c r="D33" s="15" t="s">
        <v>4</v>
      </c>
      <c r="E33" s="20" t="s">
        <v>44</v>
      </c>
      <c r="F33" s="15">
        <v>3</v>
      </c>
      <c r="G33" s="15">
        <v>4</v>
      </c>
      <c r="H33" s="21">
        <v>4</v>
      </c>
      <c r="I33" s="15">
        <v>3</v>
      </c>
      <c r="J33" s="15">
        <v>3</v>
      </c>
      <c r="K33" s="21">
        <v>5</v>
      </c>
      <c r="L33" s="15">
        <v>2</v>
      </c>
      <c r="M33" s="15">
        <v>3</v>
      </c>
      <c r="N33" s="21">
        <v>3</v>
      </c>
      <c r="O33" s="15">
        <v>4</v>
      </c>
      <c r="P33" s="15">
        <v>4</v>
      </c>
      <c r="Q33" s="21">
        <v>4</v>
      </c>
      <c r="R33" s="15">
        <f t="shared" si="0"/>
        <v>3.6666666666666665</v>
      </c>
      <c r="S33" s="15">
        <f t="shared" si="1"/>
        <v>3.6666666666666665</v>
      </c>
      <c r="T33" s="15">
        <f t="shared" si="2"/>
        <v>2.6666666666666665</v>
      </c>
      <c r="U33" s="15">
        <f t="shared" si="3"/>
        <v>4</v>
      </c>
    </row>
    <row r="34" spans="1:21" ht="54" x14ac:dyDescent="0.3">
      <c r="A34" s="15">
        <v>13039</v>
      </c>
      <c r="B34" s="15">
        <v>12132</v>
      </c>
      <c r="C34" s="15">
        <v>1</v>
      </c>
      <c r="D34" s="15" t="s">
        <v>45</v>
      </c>
      <c r="E34" s="20" t="s">
        <v>46</v>
      </c>
      <c r="F34" s="15">
        <v>4</v>
      </c>
      <c r="G34" s="15">
        <v>3</v>
      </c>
      <c r="H34" s="21">
        <v>4</v>
      </c>
      <c r="I34" s="15">
        <v>3</v>
      </c>
      <c r="J34" s="15">
        <v>3</v>
      </c>
      <c r="K34" s="21">
        <v>3</v>
      </c>
      <c r="L34" s="15">
        <v>1</v>
      </c>
      <c r="M34" s="15">
        <v>1</v>
      </c>
      <c r="N34" s="21">
        <v>4</v>
      </c>
      <c r="O34" s="15">
        <v>4</v>
      </c>
      <c r="P34" s="15">
        <v>3</v>
      </c>
      <c r="Q34" s="21">
        <v>4</v>
      </c>
      <c r="R34" s="15">
        <f t="shared" si="0"/>
        <v>3.6666666666666665</v>
      </c>
      <c r="S34" s="15">
        <f t="shared" si="1"/>
        <v>3</v>
      </c>
      <c r="T34" s="15">
        <f t="shared" si="2"/>
        <v>2</v>
      </c>
      <c r="U34" s="15">
        <f t="shared" si="3"/>
        <v>3.6666666666666665</v>
      </c>
    </row>
    <row r="35" spans="1:21" ht="67.5" x14ac:dyDescent="0.3">
      <c r="A35" s="15">
        <v>15133</v>
      </c>
      <c r="B35" s="15">
        <v>13690</v>
      </c>
      <c r="C35" s="15">
        <v>1</v>
      </c>
      <c r="D35" s="15" t="s">
        <v>11</v>
      </c>
      <c r="E35" s="20" t="s">
        <v>47</v>
      </c>
      <c r="F35" s="15">
        <v>3</v>
      </c>
      <c r="G35" s="15">
        <v>3</v>
      </c>
      <c r="H35" s="21">
        <v>3</v>
      </c>
      <c r="I35" s="15">
        <v>3</v>
      </c>
      <c r="J35" s="15">
        <v>3</v>
      </c>
      <c r="K35" s="21">
        <v>3</v>
      </c>
      <c r="L35" s="15">
        <v>2</v>
      </c>
      <c r="M35" s="15">
        <v>1</v>
      </c>
      <c r="N35" s="21">
        <v>3</v>
      </c>
      <c r="O35" s="15">
        <v>4</v>
      </c>
      <c r="P35" s="15">
        <v>3</v>
      </c>
      <c r="Q35" s="21">
        <v>4</v>
      </c>
      <c r="R35" s="15">
        <f t="shared" si="0"/>
        <v>3</v>
      </c>
      <c r="S35" s="15">
        <f t="shared" si="1"/>
        <v>3</v>
      </c>
      <c r="T35" s="15">
        <f t="shared" si="2"/>
        <v>2</v>
      </c>
      <c r="U35" s="15">
        <f t="shared" si="3"/>
        <v>3.6666666666666665</v>
      </c>
    </row>
    <row r="36" spans="1:21" ht="94.5" x14ac:dyDescent="0.3">
      <c r="A36" s="15">
        <v>11360</v>
      </c>
      <c r="B36" s="15">
        <v>10372</v>
      </c>
      <c r="C36" s="15">
        <v>1</v>
      </c>
      <c r="D36" s="15" t="s">
        <v>4</v>
      </c>
      <c r="E36" s="20" t="s">
        <v>48</v>
      </c>
      <c r="F36" s="15">
        <v>4</v>
      </c>
      <c r="G36" s="15">
        <v>4</v>
      </c>
      <c r="H36" s="21">
        <v>4</v>
      </c>
      <c r="I36" s="15">
        <v>3</v>
      </c>
      <c r="J36" s="15">
        <v>1</v>
      </c>
      <c r="K36" s="21">
        <v>5</v>
      </c>
      <c r="L36" s="15">
        <v>2</v>
      </c>
      <c r="M36" s="15">
        <v>3</v>
      </c>
      <c r="N36" s="21">
        <v>3</v>
      </c>
      <c r="O36" s="15">
        <v>4</v>
      </c>
      <c r="P36" s="15">
        <v>4</v>
      </c>
      <c r="Q36" s="21">
        <v>4</v>
      </c>
      <c r="R36" s="15">
        <f t="shared" si="0"/>
        <v>4</v>
      </c>
      <c r="S36" s="15">
        <f t="shared" si="1"/>
        <v>3</v>
      </c>
      <c r="T36" s="15">
        <f t="shared" si="2"/>
        <v>2.6666666666666665</v>
      </c>
      <c r="U36" s="15">
        <f t="shared" si="3"/>
        <v>4</v>
      </c>
    </row>
    <row r="37" spans="1:21" ht="54" x14ac:dyDescent="0.3">
      <c r="A37" s="15">
        <v>11482</v>
      </c>
      <c r="B37" s="15">
        <v>10507</v>
      </c>
      <c r="C37" s="15">
        <v>1</v>
      </c>
      <c r="D37" s="15" t="s">
        <v>4</v>
      </c>
      <c r="E37" s="20" t="s">
        <v>49</v>
      </c>
      <c r="F37" s="15">
        <v>3</v>
      </c>
      <c r="G37" s="15">
        <v>3</v>
      </c>
      <c r="H37" s="21">
        <v>4</v>
      </c>
      <c r="I37" s="15">
        <v>4</v>
      </c>
      <c r="J37" s="15">
        <v>3</v>
      </c>
      <c r="K37" s="21">
        <v>3</v>
      </c>
      <c r="L37" s="15">
        <v>2</v>
      </c>
      <c r="M37" s="15">
        <v>1</v>
      </c>
      <c r="N37" s="21">
        <v>3</v>
      </c>
      <c r="O37" s="15">
        <v>4</v>
      </c>
      <c r="P37" s="15">
        <v>3</v>
      </c>
      <c r="Q37" s="21">
        <v>4</v>
      </c>
      <c r="R37" s="15">
        <f t="shared" si="0"/>
        <v>3.3333333333333335</v>
      </c>
      <c r="S37" s="15">
        <f t="shared" si="1"/>
        <v>3.3333333333333335</v>
      </c>
      <c r="T37" s="15">
        <f t="shared" si="2"/>
        <v>2</v>
      </c>
      <c r="U37" s="15">
        <f t="shared" si="3"/>
        <v>3.6666666666666665</v>
      </c>
    </row>
    <row r="38" spans="1:21" ht="40.5" x14ac:dyDescent="0.3">
      <c r="A38" s="15">
        <v>4454</v>
      </c>
      <c r="B38" s="15">
        <v>12944</v>
      </c>
      <c r="C38" s="15">
        <v>1</v>
      </c>
      <c r="D38" s="15" t="s">
        <v>50</v>
      </c>
      <c r="E38" s="20" t="s">
        <v>51</v>
      </c>
      <c r="F38" s="15">
        <v>4</v>
      </c>
      <c r="G38" s="15">
        <v>3</v>
      </c>
      <c r="H38" s="21">
        <v>3</v>
      </c>
      <c r="I38" s="15">
        <v>3</v>
      </c>
      <c r="J38" s="15">
        <v>1</v>
      </c>
      <c r="K38" s="21">
        <v>3</v>
      </c>
      <c r="L38" s="15">
        <v>3</v>
      </c>
      <c r="M38" s="15">
        <v>1</v>
      </c>
      <c r="N38" s="21">
        <v>3</v>
      </c>
      <c r="O38" s="15">
        <v>4</v>
      </c>
      <c r="P38" s="15">
        <v>3</v>
      </c>
      <c r="Q38" s="21">
        <v>4</v>
      </c>
      <c r="R38" s="15">
        <f t="shared" si="0"/>
        <v>3.3333333333333335</v>
      </c>
      <c r="S38" s="15">
        <f t="shared" si="1"/>
        <v>2.3333333333333335</v>
      </c>
      <c r="T38" s="15">
        <f t="shared" si="2"/>
        <v>2.3333333333333335</v>
      </c>
      <c r="U38" s="15">
        <f t="shared" si="3"/>
        <v>3.6666666666666665</v>
      </c>
    </row>
    <row r="39" spans="1:21" ht="67.5" x14ac:dyDescent="0.3">
      <c r="A39" s="15">
        <v>1289</v>
      </c>
      <c r="B39" s="15">
        <v>13798</v>
      </c>
      <c r="C39" s="15">
        <v>1</v>
      </c>
      <c r="D39" s="15" t="s">
        <v>11</v>
      </c>
      <c r="E39" s="20" t="s">
        <v>52</v>
      </c>
      <c r="F39" s="15">
        <v>4</v>
      </c>
      <c r="G39" s="15">
        <v>3</v>
      </c>
      <c r="H39" s="21">
        <v>4</v>
      </c>
      <c r="I39" s="15">
        <v>4</v>
      </c>
      <c r="J39" s="15">
        <v>1</v>
      </c>
      <c r="K39" s="21">
        <v>3</v>
      </c>
      <c r="L39" s="15">
        <v>2</v>
      </c>
      <c r="M39" s="15">
        <v>1</v>
      </c>
      <c r="N39" s="21">
        <v>3</v>
      </c>
      <c r="O39" s="15">
        <v>3</v>
      </c>
      <c r="P39" s="15">
        <v>3</v>
      </c>
      <c r="Q39" s="21">
        <v>4</v>
      </c>
      <c r="R39" s="15">
        <f t="shared" si="0"/>
        <v>3.6666666666666665</v>
      </c>
      <c r="S39" s="15">
        <f t="shared" si="1"/>
        <v>2.6666666666666665</v>
      </c>
      <c r="T39" s="15">
        <f t="shared" si="2"/>
        <v>2</v>
      </c>
      <c r="U39" s="15">
        <f t="shared" si="3"/>
        <v>3.3333333333333335</v>
      </c>
    </row>
    <row r="40" spans="1:21" ht="40.5" x14ac:dyDescent="0.3">
      <c r="A40" s="15">
        <v>3004</v>
      </c>
      <c r="B40" s="15">
        <v>14536</v>
      </c>
      <c r="C40" s="15">
        <v>1</v>
      </c>
      <c r="D40" s="15" t="s">
        <v>4</v>
      </c>
      <c r="E40" s="20" t="s">
        <v>53</v>
      </c>
      <c r="F40" s="15">
        <v>3</v>
      </c>
      <c r="G40" s="15">
        <v>3</v>
      </c>
      <c r="H40" s="21">
        <v>3</v>
      </c>
      <c r="I40" s="15">
        <v>3</v>
      </c>
      <c r="J40" s="15">
        <v>3</v>
      </c>
      <c r="K40" s="21">
        <v>3</v>
      </c>
      <c r="L40" s="15">
        <v>2</v>
      </c>
      <c r="M40" s="15">
        <v>1</v>
      </c>
      <c r="N40" s="21">
        <v>3</v>
      </c>
      <c r="O40" s="15">
        <v>4</v>
      </c>
      <c r="P40" s="15">
        <v>3</v>
      </c>
      <c r="Q40" s="21">
        <v>3</v>
      </c>
      <c r="R40" s="15">
        <f t="shared" si="0"/>
        <v>3</v>
      </c>
      <c r="S40" s="15">
        <f t="shared" si="1"/>
        <v>3</v>
      </c>
      <c r="T40" s="15">
        <f t="shared" si="2"/>
        <v>2</v>
      </c>
      <c r="U40" s="15">
        <f t="shared" si="3"/>
        <v>3.3333333333333335</v>
      </c>
    </row>
    <row r="41" spans="1:21" ht="81" x14ac:dyDescent="0.3">
      <c r="A41" s="15">
        <v>7301</v>
      </c>
      <c r="B41" s="15">
        <v>13192</v>
      </c>
      <c r="C41" s="15">
        <v>1</v>
      </c>
      <c r="D41" s="15" t="s">
        <v>11</v>
      </c>
      <c r="E41" s="20" t="s">
        <v>54</v>
      </c>
      <c r="F41" s="15">
        <v>4</v>
      </c>
      <c r="G41" s="15">
        <v>3</v>
      </c>
      <c r="H41" s="21">
        <v>3</v>
      </c>
      <c r="I41" s="15">
        <v>3</v>
      </c>
      <c r="J41" s="15">
        <v>3</v>
      </c>
      <c r="K41" s="21">
        <v>5</v>
      </c>
      <c r="L41" s="15">
        <v>2</v>
      </c>
      <c r="M41" s="15">
        <v>1</v>
      </c>
      <c r="N41" s="21">
        <v>3</v>
      </c>
      <c r="O41" s="15">
        <v>3</v>
      </c>
      <c r="P41" s="15">
        <v>3</v>
      </c>
      <c r="Q41" s="21">
        <v>4</v>
      </c>
      <c r="R41" s="15">
        <f t="shared" si="0"/>
        <v>3.3333333333333335</v>
      </c>
      <c r="S41" s="15">
        <f t="shared" si="1"/>
        <v>3.6666666666666665</v>
      </c>
      <c r="T41" s="15">
        <f t="shared" si="2"/>
        <v>2</v>
      </c>
      <c r="U41" s="15">
        <f t="shared" si="3"/>
        <v>3.3333333333333335</v>
      </c>
    </row>
    <row r="42" spans="1:21" ht="94.5" x14ac:dyDescent="0.3">
      <c r="A42" s="15">
        <v>14030</v>
      </c>
      <c r="B42" s="15">
        <v>14897</v>
      </c>
      <c r="C42" s="15">
        <v>1</v>
      </c>
      <c r="D42" s="15" t="s">
        <v>4</v>
      </c>
      <c r="E42" s="20" t="s">
        <v>55</v>
      </c>
      <c r="F42" s="15">
        <v>4</v>
      </c>
      <c r="G42" s="15">
        <v>4</v>
      </c>
      <c r="H42" s="21">
        <v>4</v>
      </c>
      <c r="I42" s="15">
        <v>3</v>
      </c>
      <c r="J42" s="15">
        <v>3</v>
      </c>
      <c r="K42" s="21">
        <v>5</v>
      </c>
      <c r="L42" s="15">
        <v>2</v>
      </c>
      <c r="M42" s="15">
        <v>1</v>
      </c>
      <c r="N42" s="21">
        <v>3</v>
      </c>
      <c r="O42" s="15">
        <v>3</v>
      </c>
      <c r="P42" s="15">
        <v>3</v>
      </c>
      <c r="Q42" s="21">
        <v>4</v>
      </c>
      <c r="R42" s="15">
        <f t="shared" si="0"/>
        <v>4</v>
      </c>
      <c r="S42" s="15">
        <f t="shared" si="1"/>
        <v>3.6666666666666665</v>
      </c>
      <c r="T42" s="15">
        <f t="shared" si="2"/>
        <v>2</v>
      </c>
      <c r="U42" s="15">
        <f t="shared" si="3"/>
        <v>3.3333333333333335</v>
      </c>
    </row>
    <row r="43" spans="1:21" ht="67.5" x14ac:dyDescent="0.3">
      <c r="A43" s="15">
        <v>15597</v>
      </c>
      <c r="B43" s="15">
        <v>14257</v>
      </c>
      <c r="C43" s="15">
        <v>1</v>
      </c>
      <c r="D43" s="15" t="s">
        <v>4</v>
      </c>
      <c r="E43" s="20" t="s">
        <v>56</v>
      </c>
      <c r="F43" s="15">
        <v>4</v>
      </c>
      <c r="G43" s="15">
        <v>3</v>
      </c>
      <c r="H43" s="21">
        <v>4</v>
      </c>
      <c r="I43" s="15">
        <v>3</v>
      </c>
      <c r="J43" s="15">
        <v>3</v>
      </c>
      <c r="K43" s="21">
        <v>3</v>
      </c>
      <c r="L43" s="15">
        <v>2</v>
      </c>
      <c r="M43" s="15">
        <v>1</v>
      </c>
      <c r="N43" s="21">
        <v>3</v>
      </c>
      <c r="O43" s="15">
        <v>4</v>
      </c>
      <c r="P43" s="15">
        <v>3</v>
      </c>
      <c r="Q43" s="21">
        <v>4</v>
      </c>
      <c r="R43" s="15">
        <f t="shared" si="0"/>
        <v>3.6666666666666665</v>
      </c>
      <c r="S43" s="15">
        <f t="shared" si="1"/>
        <v>3</v>
      </c>
      <c r="T43" s="15">
        <f t="shared" si="2"/>
        <v>2</v>
      </c>
      <c r="U43" s="15">
        <f t="shared" si="3"/>
        <v>3.6666666666666665</v>
      </c>
    </row>
    <row r="44" spans="1:21" ht="54" x14ac:dyDescent="0.3">
      <c r="A44" s="15">
        <v>14560</v>
      </c>
      <c r="B44" s="15">
        <v>11865</v>
      </c>
      <c r="C44" s="15">
        <v>1</v>
      </c>
      <c r="D44" s="15" t="s">
        <v>45</v>
      </c>
      <c r="E44" s="20" t="s">
        <v>57</v>
      </c>
      <c r="F44" s="15">
        <v>3</v>
      </c>
      <c r="G44" s="15">
        <v>3</v>
      </c>
      <c r="H44" s="21">
        <v>3</v>
      </c>
      <c r="I44" s="15">
        <v>3</v>
      </c>
      <c r="J44" s="15">
        <v>3</v>
      </c>
      <c r="K44" s="21">
        <v>3</v>
      </c>
      <c r="L44" s="15">
        <v>2</v>
      </c>
      <c r="M44" s="15">
        <v>1</v>
      </c>
      <c r="N44" s="21">
        <v>3</v>
      </c>
      <c r="O44" s="15">
        <v>4</v>
      </c>
      <c r="P44" s="15">
        <v>3</v>
      </c>
      <c r="Q44" s="21">
        <v>4</v>
      </c>
      <c r="R44" s="15">
        <f t="shared" si="0"/>
        <v>3</v>
      </c>
      <c r="S44" s="15">
        <f t="shared" si="1"/>
        <v>3</v>
      </c>
      <c r="T44" s="15">
        <f t="shared" si="2"/>
        <v>2</v>
      </c>
      <c r="U44" s="15">
        <f t="shared" si="3"/>
        <v>3.6666666666666665</v>
      </c>
    </row>
    <row r="45" spans="1:21" ht="27" x14ac:dyDescent="0.3">
      <c r="A45" s="15">
        <v>7265</v>
      </c>
      <c r="B45" s="15">
        <v>12572</v>
      </c>
      <c r="C45" s="15">
        <v>1</v>
      </c>
      <c r="D45" s="15" t="s">
        <v>4</v>
      </c>
      <c r="E45" s="20" t="s">
        <v>58</v>
      </c>
      <c r="F45" s="15">
        <v>3</v>
      </c>
      <c r="G45" s="15">
        <v>3</v>
      </c>
      <c r="H45" s="21">
        <v>3</v>
      </c>
      <c r="I45" s="15">
        <v>3</v>
      </c>
      <c r="J45" s="15">
        <v>3</v>
      </c>
      <c r="K45" s="21">
        <v>3</v>
      </c>
      <c r="L45" s="15">
        <v>2</v>
      </c>
      <c r="M45" s="15">
        <v>3</v>
      </c>
      <c r="N45" s="21">
        <v>3</v>
      </c>
      <c r="O45" s="15">
        <v>4</v>
      </c>
      <c r="P45" s="15">
        <v>3</v>
      </c>
      <c r="Q45" s="21">
        <v>3</v>
      </c>
      <c r="R45" s="15">
        <f t="shared" si="0"/>
        <v>3</v>
      </c>
      <c r="S45" s="15">
        <f t="shared" si="1"/>
        <v>3</v>
      </c>
      <c r="T45" s="15">
        <f t="shared" si="2"/>
        <v>2.6666666666666665</v>
      </c>
      <c r="U45" s="15">
        <f t="shared" si="3"/>
        <v>3.3333333333333335</v>
      </c>
    </row>
    <row r="46" spans="1:21" ht="67.5" x14ac:dyDescent="0.3">
      <c r="A46" s="15">
        <v>2658</v>
      </c>
      <c r="B46" s="15">
        <v>15097</v>
      </c>
      <c r="C46" s="15">
        <v>1</v>
      </c>
      <c r="D46" s="15" t="s">
        <v>4</v>
      </c>
      <c r="E46" s="20" t="s">
        <v>59</v>
      </c>
      <c r="F46" s="15">
        <v>4</v>
      </c>
      <c r="G46" s="15">
        <v>4</v>
      </c>
      <c r="H46" s="21">
        <v>3</v>
      </c>
      <c r="I46" s="15">
        <v>5</v>
      </c>
      <c r="J46" s="15">
        <v>1</v>
      </c>
      <c r="K46" s="21">
        <v>5</v>
      </c>
      <c r="L46" s="15">
        <v>2</v>
      </c>
      <c r="M46" s="15">
        <v>1</v>
      </c>
      <c r="N46" s="21">
        <v>3</v>
      </c>
      <c r="O46" s="15">
        <v>4</v>
      </c>
      <c r="P46" s="15">
        <v>4</v>
      </c>
      <c r="Q46" s="21">
        <v>3</v>
      </c>
      <c r="R46" s="15">
        <f t="shared" si="0"/>
        <v>3.6666666666666665</v>
      </c>
      <c r="S46" s="15">
        <f t="shared" si="1"/>
        <v>3.6666666666666665</v>
      </c>
      <c r="T46" s="15">
        <f t="shared" si="2"/>
        <v>2</v>
      </c>
      <c r="U46" s="15">
        <f t="shared" si="3"/>
        <v>3.6666666666666665</v>
      </c>
    </row>
    <row r="47" spans="1:21" ht="121.5" x14ac:dyDescent="0.3">
      <c r="A47" s="15">
        <v>1704</v>
      </c>
      <c r="B47" s="15">
        <v>14325</v>
      </c>
      <c r="C47" s="15">
        <v>1</v>
      </c>
      <c r="D47" s="15" t="s">
        <v>4</v>
      </c>
      <c r="E47" s="20" t="s">
        <v>60</v>
      </c>
      <c r="F47" s="15">
        <v>4</v>
      </c>
      <c r="G47" s="15">
        <v>4</v>
      </c>
      <c r="H47" s="21">
        <v>4</v>
      </c>
      <c r="I47" s="15">
        <v>5</v>
      </c>
      <c r="J47" s="15">
        <v>3</v>
      </c>
      <c r="K47" s="21">
        <v>5</v>
      </c>
      <c r="L47" s="15">
        <v>2</v>
      </c>
      <c r="M47" s="15">
        <v>1</v>
      </c>
      <c r="N47" s="21">
        <v>4</v>
      </c>
      <c r="O47" s="15">
        <v>4</v>
      </c>
      <c r="P47" s="15">
        <v>4</v>
      </c>
      <c r="Q47" s="21">
        <v>4</v>
      </c>
      <c r="R47" s="15">
        <f t="shared" si="0"/>
        <v>4</v>
      </c>
      <c r="S47" s="15">
        <f t="shared" si="1"/>
        <v>4.333333333333333</v>
      </c>
      <c r="T47" s="15">
        <f t="shared" si="2"/>
        <v>2.3333333333333335</v>
      </c>
      <c r="U47" s="15">
        <f t="shared" si="3"/>
        <v>4</v>
      </c>
    </row>
    <row r="48" spans="1:21" ht="40.5" x14ac:dyDescent="0.3">
      <c r="A48" s="15">
        <v>4538</v>
      </c>
      <c r="B48" s="15">
        <v>11398</v>
      </c>
      <c r="C48" s="15">
        <v>1</v>
      </c>
      <c r="D48" s="15" t="s">
        <v>6</v>
      </c>
      <c r="E48" s="20" t="s">
        <v>61</v>
      </c>
      <c r="F48" s="15">
        <v>4</v>
      </c>
      <c r="G48" s="15">
        <v>4</v>
      </c>
      <c r="H48" s="21">
        <v>4</v>
      </c>
      <c r="I48" s="15">
        <v>3</v>
      </c>
      <c r="J48" s="15">
        <v>3</v>
      </c>
      <c r="K48" s="21">
        <v>4</v>
      </c>
      <c r="L48" s="15">
        <v>2</v>
      </c>
      <c r="M48" s="15">
        <v>3</v>
      </c>
      <c r="N48" s="21">
        <v>4</v>
      </c>
      <c r="O48" s="15">
        <v>3</v>
      </c>
      <c r="P48" s="15">
        <v>4</v>
      </c>
      <c r="Q48" s="21">
        <v>4</v>
      </c>
      <c r="R48" s="15">
        <f t="shared" si="0"/>
        <v>4</v>
      </c>
      <c r="S48" s="15">
        <f t="shared" si="1"/>
        <v>3.3333333333333335</v>
      </c>
      <c r="T48" s="15">
        <f t="shared" si="2"/>
        <v>3</v>
      </c>
      <c r="U48" s="15">
        <f t="shared" si="3"/>
        <v>3.6666666666666665</v>
      </c>
    </row>
    <row r="49" spans="1:21" ht="27" x14ac:dyDescent="0.3">
      <c r="A49" s="15">
        <v>14432</v>
      </c>
      <c r="B49" s="15">
        <v>10996</v>
      </c>
      <c r="C49" s="15">
        <v>1</v>
      </c>
      <c r="D49" s="15" t="s">
        <v>13</v>
      </c>
      <c r="E49" s="20" t="s">
        <v>62</v>
      </c>
      <c r="F49" s="15">
        <v>3</v>
      </c>
      <c r="G49" s="15">
        <v>3</v>
      </c>
      <c r="H49" s="21">
        <v>3</v>
      </c>
      <c r="I49" s="15">
        <v>3</v>
      </c>
      <c r="J49" s="15">
        <v>3</v>
      </c>
      <c r="K49" s="21">
        <v>1</v>
      </c>
      <c r="L49" s="15">
        <v>2</v>
      </c>
      <c r="M49" s="15">
        <v>1</v>
      </c>
      <c r="N49" s="21">
        <v>3</v>
      </c>
      <c r="O49" s="15">
        <v>3</v>
      </c>
      <c r="P49" s="15">
        <v>3</v>
      </c>
      <c r="Q49" s="21">
        <v>3</v>
      </c>
      <c r="R49" s="15">
        <f t="shared" si="0"/>
        <v>3</v>
      </c>
      <c r="S49" s="15">
        <f t="shared" si="1"/>
        <v>2.3333333333333335</v>
      </c>
      <c r="T49" s="15">
        <f t="shared" si="2"/>
        <v>2</v>
      </c>
      <c r="U49" s="15">
        <f t="shared" si="3"/>
        <v>3</v>
      </c>
    </row>
    <row r="50" spans="1:21" ht="67.5" x14ac:dyDescent="0.3">
      <c r="A50" s="15">
        <v>1658</v>
      </c>
      <c r="B50" s="15">
        <v>12196</v>
      </c>
      <c r="C50" s="15">
        <v>1</v>
      </c>
      <c r="D50" s="15" t="s">
        <v>4</v>
      </c>
      <c r="E50" s="20" t="s">
        <v>63</v>
      </c>
      <c r="F50" s="15">
        <v>3</v>
      </c>
      <c r="G50" s="15">
        <v>3</v>
      </c>
      <c r="H50" s="21">
        <v>4</v>
      </c>
      <c r="I50" s="15">
        <v>4</v>
      </c>
      <c r="J50" s="15">
        <v>3</v>
      </c>
      <c r="K50" s="21">
        <v>3</v>
      </c>
      <c r="L50" s="15">
        <v>2</v>
      </c>
      <c r="M50" s="15">
        <v>3</v>
      </c>
      <c r="N50" s="21">
        <v>3</v>
      </c>
      <c r="O50" s="15">
        <v>3</v>
      </c>
      <c r="P50" s="15">
        <v>3</v>
      </c>
      <c r="Q50" s="21">
        <v>4</v>
      </c>
      <c r="R50" s="15">
        <f t="shared" si="0"/>
        <v>3.3333333333333335</v>
      </c>
      <c r="S50" s="15">
        <f t="shared" si="1"/>
        <v>3.3333333333333335</v>
      </c>
      <c r="T50" s="15">
        <f t="shared" si="2"/>
        <v>2.6666666666666665</v>
      </c>
      <c r="U50" s="15">
        <f t="shared" si="3"/>
        <v>3.3333333333333335</v>
      </c>
    </row>
    <row r="51" spans="1:21" ht="81" x14ac:dyDescent="0.3">
      <c r="A51" s="15">
        <v>4944</v>
      </c>
      <c r="B51" s="15">
        <v>14344</v>
      </c>
      <c r="C51" s="15">
        <v>1</v>
      </c>
      <c r="D51" s="15" t="s">
        <v>4</v>
      </c>
      <c r="E51" s="20" t="s">
        <v>64</v>
      </c>
      <c r="F51" s="15">
        <v>4</v>
      </c>
      <c r="G51" s="15">
        <v>4</v>
      </c>
      <c r="H51" s="21">
        <v>4</v>
      </c>
      <c r="I51" s="15">
        <v>3</v>
      </c>
      <c r="J51" s="15">
        <v>3</v>
      </c>
      <c r="K51" s="21">
        <v>5</v>
      </c>
      <c r="L51" s="15">
        <v>2</v>
      </c>
      <c r="M51" s="15">
        <v>3</v>
      </c>
      <c r="N51" s="21">
        <v>3</v>
      </c>
      <c r="O51" s="15">
        <v>3</v>
      </c>
      <c r="P51" s="15">
        <v>4</v>
      </c>
      <c r="Q51" s="21">
        <v>4</v>
      </c>
      <c r="R51" s="15">
        <f t="shared" si="0"/>
        <v>4</v>
      </c>
      <c r="S51" s="15">
        <f t="shared" si="1"/>
        <v>3.6666666666666665</v>
      </c>
      <c r="T51" s="15">
        <f t="shared" si="2"/>
        <v>2.6666666666666665</v>
      </c>
      <c r="U51" s="15">
        <f t="shared" si="3"/>
        <v>3.6666666666666665</v>
      </c>
    </row>
    <row r="52" spans="1:21" ht="67.5" x14ac:dyDescent="0.3">
      <c r="A52" s="15">
        <v>15465</v>
      </c>
      <c r="B52" s="15">
        <v>10141</v>
      </c>
      <c r="C52" s="15">
        <v>1</v>
      </c>
      <c r="D52" s="15" t="s">
        <v>4</v>
      </c>
      <c r="E52" s="20" t="s">
        <v>65</v>
      </c>
      <c r="F52" s="15">
        <v>4</v>
      </c>
      <c r="G52" s="15">
        <v>3</v>
      </c>
      <c r="H52" s="21">
        <v>3</v>
      </c>
      <c r="I52" s="15">
        <v>5</v>
      </c>
      <c r="J52" s="15">
        <v>3</v>
      </c>
      <c r="K52" s="21">
        <v>4</v>
      </c>
      <c r="L52" s="15">
        <v>2</v>
      </c>
      <c r="M52" s="15">
        <v>1</v>
      </c>
      <c r="N52" s="21">
        <v>1</v>
      </c>
      <c r="O52" s="15">
        <v>4</v>
      </c>
      <c r="P52" s="15">
        <v>1</v>
      </c>
      <c r="Q52" s="21">
        <v>2</v>
      </c>
      <c r="R52" s="15">
        <f t="shared" si="0"/>
        <v>3.3333333333333335</v>
      </c>
      <c r="S52" s="15">
        <f t="shared" si="1"/>
        <v>4</v>
      </c>
      <c r="T52" s="15">
        <f t="shared" si="2"/>
        <v>1.3333333333333333</v>
      </c>
      <c r="U52" s="15">
        <f t="shared" si="3"/>
        <v>2.3333333333333335</v>
      </c>
    </row>
    <row r="53" spans="1:21" ht="54" x14ac:dyDescent="0.3">
      <c r="A53" s="15">
        <v>10675</v>
      </c>
      <c r="B53" s="15">
        <v>13364</v>
      </c>
      <c r="C53" s="15">
        <v>1</v>
      </c>
      <c r="D53" s="15" t="s">
        <v>11</v>
      </c>
      <c r="E53" s="20" t="s">
        <v>66</v>
      </c>
      <c r="F53" s="15">
        <v>4</v>
      </c>
      <c r="G53" s="15">
        <v>3</v>
      </c>
      <c r="H53" s="21">
        <v>4</v>
      </c>
      <c r="I53" s="15">
        <v>3</v>
      </c>
      <c r="J53" s="15">
        <v>3</v>
      </c>
      <c r="K53" s="21">
        <v>3</v>
      </c>
      <c r="L53" s="15">
        <v>3</v>
      </c>
      <c r="M53" s="15">
        <v>1</v>
      </c>
      <c r="N53" s="21">
        <v>3</v>
      </c>
      <c r="O53" s="15">
        <v>4</v>
      </c>
      <c r="P53" s="15">
        <v>2</v>
      </c>
      <c r="Q53" s="21">
        <v>4</v>
      </c>
      <c r="R53" s="15">
        <f t="shared" si="0"/>
        <v>3.6666666666666665</v>
      </c>
      <c r="S53" s="15">
        <f t="shared" si="1"/>
        <v>3</v>
      </c>
      <c r="T53" s="15">
        <f t="shared" si="2"/>
        <v>2.3333333333333335</v>
      </c>
      <c r="U53" s="15">
        <f t="shared" si="3"/>
        <v>3.3333333333333335</v>
      </c>
    </row>
    <row r="54" spans="1:21" ht="94.5" x14ac:dyDescent="0.3">
      <c r="A54" s="15">
        <v>273</v>
      </c>
      <c r="B54" s="15">
        <v>13486</v>
      </c>
      <c r="C54" s="15">
        <v>1</v>
      </c>
      <c r="D54" s="15" t="s">
        <v>11</v>
      </c>
      <c r="E54" s="20" t="s">
        <v>67</v>
      </c>
      <c r="F54" s="15">
        <v>4</v>
      </c>
      <c r="G54" s="15">
        <v>4</v>
      </c>
      <c r="H54" s="21">
        <v>4</v>
      </c>
      <c r="I54" s="15">
        <v>3</v>
      </c>
      <c r="J54" s="15">
        <v>3</v>
      </c>
      <c r="K54" s="21">
        <v>5</v>
      </c>
      <c r="L54" s="15">
        <v>2</v>
      </c>
      <c r="M54" s="15">
        <v>1</v>
      </c>
      <c r="N54" s="21">
        <v>3</v>
      </c>
      <c r="O54" s="15">
        <v>4</v>
      </c>
      <c r="P54" s="15">
        <v>4</v>
      </c>
      <c r="Q54" s="21">
        <v>4</v>
      </c>
      <c r="R54" s="15">
        <f t="shared" si="0"/>
        <v>4</v>
      </c>
      <c r="S54" s="15">
        <f t="shared" si="1"/>
        <v>3.6666666666666665</v>
      </c>
      <c r="T54" s="15">
        <f t="shared" si="2"/>
        <v>2</v>
      </c>
      <c r="U54" s="15">
        <f t="shared" si="3"/>
        <v>4</v>
      </c>
    </row>
    <row r="55" spans="1:21" ht="94.5" x14ac:dyDescent="0.3">
      <c r="A55" s="15">
        <v>2386</v>
      </c>
      <c r="B55" s="15">
        <v>12499</v>
      </c>
      <c r="C55" s="15">
        <v>1</v>
      </c>
      <c r="D55" s="15" t="s">
        <v>4</v>
      </c>
      <c r="E55" s="20" t="s">
        <v>68</v>
      </c>
      <c r="F55" s="15">
        <v>4</v>
      </c>
      <c r="G55" s="15">
        <v>4</v>
      </c>
      <c r="H55" s="21">
        <v>4</v>
      </c>
      <c r="I55" s="15">
        <v>3</v>
      </c>
      <c r="J55" s="15">
        <v>3</v>
      </c>
      <c r="K55" s="21">
        <v>5</v>
      </c>
      <c r="L55" s="15">
        <v>2</v>
      </c>
      <c r="M55" s="15">
        <v>1</v>
      </c>
      <c r="N55" s="21">
        <v>3</v>
      </c>
      <c r="O55" s="15">
        <v>3</v>
      </c>
      <c r="P55" s="15">
        <v>4</v>
      </c>
      <c r="Q55" s="21">
        <v>4</v>
      </c>
      <c r="R55" s="15">
        <f t="shared" si="0"/>
        <v>4</v>
      </c>
      <c r="S55" s="15">
        <f t="shared" si="1"/>
        <v>3.6666666666666665</v>
      </c>
      <c r="T55" s="15">
        <f t="shared" si="2"/>
        <v>2</v>
      </c>
      <c r="U55" s="15">
        <f t="shared" si="3"/>
        <v>3.6666666666666665</v>
      </c>
    </row>
    <row r="56" spans="1:21" ht="40.5" x14ac:dyDescent="0.3">
      <c r="A56" s="15">
        <v>14209</v>
      </c>
      <c r="B56" s="15">
        <v>10781</v>
      </c>
      <c r="C56" s="15">
        <v>1</v>
      </c>
      <c r="D56" s="15" t="s">
        <v>4</v>
      </c>
      <c r="E56" s="20" t="s">
        <v>69</v>
      </c>
      <c r="F56" s="15">
        <v>3</v>
      </c>
      <c r="G56" s="15">
        <v>3</v>
      </c>
      <c r="H56" s="21">
        <v>4</v>
      </c>
      <c r="I56" s="15">
        <v>3</v>
      </c>
      <c r="J56" s="15">
        <v>1</v>
      </c>
      <c r="K56" s="21">
        <v>3</v>
      </c>
      <c r="L56" s="15">
        <v>2</v>
      </c>
      <c r="M56" s="15">
        <v>3</v>
      </c>
      <c r="N56" s="21">
        <v>3</v>
      </c>
      <c r="O56" s="15">
        <v>3</v>
      </c>
      <c r="P56" s="15">
        <v>3</v>
      </c>
      <c r="Q56" s="21">
        <v>4</v>
      </c>
      <c r="R56" s="15">
        <f t="shared" si="0"/>
        <v>3.3333333333333335</v>
      </c>
      <c r="S56" s="15">
        <f t="shared" si="1"/>
        <v>2.3333333333333335</v>
      </c>
      <c r="T56" s="15">
        <f t="shared" si="2"/>
        <v>2.6666666666666665</v>
      </c>
      <c r="U56" s="15">
        <f t="shared" si="3"/>
        <v>3.3333333333333335</v>
      </c>
    </row>
    <row r="57" spans="1:21" ht="81" x14ac:dyDescent="0.3">
      <c r="A57" s="15">
        <v>2125</v>
      </c>
      <c r="B57" s="15">
        <v>13561</v>
      </c>
      <c r="C57" s="15">
        <v>1</v>
      </c>
      <c r="D57" s="15" t="s">
        <v>11</v>
      </c>
      <c r="E57" s="20" t="s">
        <v>70</v>
      </c>
      <c r="F57" s="15">
        <v>3</v>
      </c>
      <c r="G57" s="15">
        <v>4</v>
      </c>
      <c r="H57" s="21">
        <v>3</v>
      </c>
      <c r="I57" s="15">
        <v>4</v>
      </c>
      <c r="J57" s="15">
        <v>3</v>
      </c>
      <c r="K57" s="21">
        <v>5</v>
      </c>
      <c r="L57" s="15">
        <v>2</v>
      </c>
      <c r="M57" s="15">
        <v>1</v>
      </c>
      <c r="N57" s="21">
        <v>3</v>
      </c>
      <c r="O57" s="15">
        <v>3</v>
      </c>
      <c r="P57" s="15">
        <v>3</v>
      </c>
      <c r="Q57" s="21">
        <v>4</v>
      </c>
      <c r="R57" s="15">
        <f t="shared" si="0"/>
        <v>3.3333333333333335</v>
      </c>
      <c r="S57" s="15">
        <f t="shared" si="1"/>
        <v>4</v>
      </c>
      <c r="T57" s="15">
        <f t="shared" si="2"/>
        <v>2</v>
      </c>
      <c r="U57" s="15">
        <f t="shared" si="3"/>
        <v>3.3333333333333335</v>
      </c>
    </row>
    <row r="58" spans="1:21" ht="67.5" x14ac:dyDescent="0.3">
      <c r="A58" s="15">
        <v>6079</v>
      </c>
      <c r="B58" s="15">
        <v>13782</v>
      </c>
      <c r="C58" s="15">
        <v>1</v>
      </c>
      <c r="D58" s="15" t="s">
        <v>11</v>
      </c>
      <c r="E58" s="20" t="s">
        <v>71</v>
      </c>
      <c r="F58" s="15">
        <v>3</v>
      </c>
      <c r="G58" s="15">
        <v>4</v>
      </c>
      <c r="H58" s="21">
        <v>3</v>
      </c>
      <c r="I58" s="15">
        <v>4</v>
      </c>
      <c r="J58" s="15">
        <v>3</v>
      </c>
      <c r="K58" s="21">
        <v>3</v>
      </c>
      <c r="L58" s="15">
        <v>2</v>
      </c>
      <c r="M58" s="15">
        <v>1</v>
      </c>
      <c r="N58" s="21">
        <v>3</v>
      </c>
      <c r="O58" s="15">
        <v>4</v>
      </c>
      <c r="P58" s="15">
        <v>3</v>
      </c>
      <c r="Q58" s="21">
        <v>4</v>
      </c>
      <c r="R58" s="15">
        <f t="shared" si="0"/>
        <v>3.3333333333333335</v>
      </c>
      <c r="S58" s="15">
        <f t="shared" si="1"/>
        <v>3.3333333333333335</v>
      </c>
      <c r="T58" s="15">
        <f t="shared" si="2"/>
        <v>2</v>
      </c>
      <c r="U58" s="15">
        <f t="shared" si="3"/>
        <v>3.6666666666666665</v>
      </c>
    </row>
    <row r="59" spans="1:21" ht="108" x14ac:dyDescent="0.3">
      <c r="A59" s="15">
        <v>15043</v>
      </c>
      <c r="B59" s="15">
        <v>14831</v>
      </c>
      <c r="C59" s="15">
        <v>1</v>
      </c>
      <c r="D59" s="15" t="s">
        <v>4</v>
      </c>
      <c r="E59" s="20" t="s">
        <v>72</v>
      </c>
      <c r="F59" s="15">
        <v>4</v>
      </c>
      <c r="G59" s="15">
        <v>4</v>
      </c>
      <c r="H59" s="21">
        <v>3</v>
      </c>
      <c r="I59" s="15">
        <v>4</v>
      </c>
      <c r="J59" s="15">
        <v>3</v>
      </c>
      <c r="K59" s="21">
        <v>5</v>
      </c>
      <c r="L59" s="15">
        <v>2</v>
      </c>
      <c r="M59" s="15">
        <v>1</v>
      </c>
      <c r="N59" s="21">
        <v>3</v>
      </c>
      <c r="O59" s="15">
        <v>3</v>
      </c>
      <c r="P59" s="15">
        <v>4</v>
      </c>
      <c r="Q59" s="21">
        <v>4</v>
      </c>
      <c r="R59" s="15">
        <f t="shared" si="0"/>
        <v>3.6666666666666665</v>
      </c>
      <c r="S59" s="15">
        <f t="shared" si="1"/>
        <v>4</v>
      </c>
      <c r="T59" s="15">
        <f t="shared" si="2"/>
        <v>2</v>
      </c>
      <c r="U59" s="15">
        <f t="shared" si="3"/>
        <v>3.6666666666666665</v>
      </c>
    </row>
    <row r="60" spans="1:21" ht="27" x14ac:dyDescent="0.3">
      <c r="A60" s="15">
        <v>5309</v>
      </c>
      <c r="B60" s="15">
        <v>14409</v>
      </c>
      <c r="C60" s="15">
        <v>1</v>
      </c>
      <c r="D60" s="15" t="s">
        <v>4</v>
      </c>
      <c r="E60" s="20" t="s">
        <v>73</v>
      </c>
      <c r="F60" s="15">
        <v>3</v>
      </c>
      <c r="G60" s="15">
        <v>3</v>
      </c>
      <c r="H60" s="21">
        <v>3</v>
      </c>
      <c r="I60" s="15">
        <v>3</v>
      </c>
      <c r="J60" s="15">
        <v>1</v>
      </c>
      <c r="K60" s="21">
        <v>3</v>
      </c>
      <c r="L60" s="15">
        <v>2</v>
      </c>
      <c r="M60" s="15">
        <v>1</v>
      </c>
      <c r="N60" s="21">
        <v>1</v>
      </c>
      <c r="O60" s="15">
        <v>4</v>
      </c>
      <c r="P60" s="15">
        <v>2</v>
      </c>
      <c r="Q60" s="21">
        <v>3</v>
      </c>
      <c r="R60" s="15">
        <f t="shared" si="0"/>
        <v>3</v>
      </c>
      <c r="S60" s="15">
        <f t="shared" si="1"/>
        <v>2.3333333333333335</v>
      </c>
      <c r="T60" s="15">
        <f t="shared" si="2"/>
        <v>1.3333333333333333</v>
      </c>
      <c r="U60" s="15">
        <f t="shared" si="3"/>
        <v>3</v>
      </c>
    </row>
    <row r="61" spans="1:21" ht="67.5" x14ac:dyDescent="0.3">
      <c r="A61" s="15">
        <v>13622</v>
      </c>
      <c r="B61" s="15">
        <v>12760</v>
      </c>
      <c r="C61" s="15">
        <v>1</v>
      </c>
      <c r="D61" s="15" t="s">
        <v>4</v>
      </c>
      <c r="E61" s="20" t="s">
        <v>74</v>
      </c>
      <c r="F61" s="15">
        <v>4</v>
      </c>
      <c r="G61" s="15">
        <v>3</v>
      </c>
      <c r="H61" s="21">
        <v>4</v>
      </c>
      <c r="I61" s="15">
        <v>3</v>
      </c>
      <c r="J61" s="15">
        <v>3</v>
      </c>
      <c r="K61" s="21">
        <v>3</v>
      </c>
      <c r="L61" s="15">
        <v>4</v>
      </c>
      <c r="M61" s="15">
        <v>1</v>
      </c>
      <c r="N61" s="21">
        <v>3</v>
      </c>
      <c r="O61" s="15">
        <v>3</v>
      </c>
      <c r="P61" s="15">
        <v>3</v>
      </c>
      <c r="Q61" s="21">
        <v>4</v>
      </c>
      <c r="R61" s="15">
        <f t="shared" si="0"/>
        <v>3.6666666666666665</v>
      </c>
      <c r="S61" s="15">
        <f t="shared" si="1"/>
        <v>3</v>
      </c>
      <c r="T61" s="15">
        <f t="shared" si="2"/>
        <v>2.6666666666666665</v>
      </c>
      <c r="U61" s="15">
        <f t="shared" si="3"/>
        <v>3.3333333333333335</v>
      </c>
    </row>
    <row r="62" spans="1:21" x14ac:dyDescent="0.3">
      <c r="A62" s="15">
        <v>15669</v>
      </c>
      <c r="B62" s="15">
        <v>10215</v>
      </c>
      <c r="C62" s="15">
        <v>1</v>
      </c>
      <c r="D62" s="15" t="s">
        <v>4</v>
      </c>
      <c r="E62" s="20" t="s">
        <v>75</v>
      </c>
      <c r="F62" s="15">
        <v>3</v>
      </c>
      <c r="G62" s="15">
        <v>2</v>
      </c>
      <c r="H62" s="21">
        <v>3</v>
      </c>
      <c r="I62" s="15">
        <v>1</v>
      </c>
      <c r="J62" s="15">
        <v>1</v>
      </c>
      <c r="K62" s="21">
        <v>1</v>
      </c>
      <c r="L62" s="15">
        <v>2</v>
      </c>
      <c r="M62" s="15">
        <v>1</v>
      </c>
      <c r="N62" s="21">
        <v>1</v>
      </c>
      <c r="O62" s="15">
        <v>4</v>
      </c>
      <c r="P62" s="15">
        <v>2</v>
      </c>
      <c r="Q62" s="21">
        <v>3</v>
      </c>
      <c r="R62" s="15">
        <f t="shared" si="0"/>
        <v>2.6666666666666665</v>
      </c>
      <c r="S62" s="15">
        <f t="shared" si="1"/>
        <v>1</v>
      </c>
      <c r="T62" s="15">
        <f t="shared" si="2"/>
        <v>1.3333333333333333</v>
      </c>
      <c r="U62" s="15">
        <f t="shared" si="3"/>
        <v>3</v>
      </c>
    </row>
    <row r="63" spans="1:21" ht="67.5" x14ac:dyDescent="0.3">
      <c r="A63" s="15">
        <v>1441</v>
      </c>
      <c r="B63" s="15">
        <v>11581</v>
      </c>
      <c r="C63" s="15">
        <v>1</v>
      </c>
      <c r="D63" s="15" t="s">
        <v>50</v>
      </c>
      <c r="E63" s="20" t="s">
        <v>76</v>
      </c>
      <c r="F63" s="15">
        <v>3</v>
      </c>
      <c r="G63" s="15">
        <v>3</v>
      </c>
      <c r="H63" s="21">
        <v>3</v>
      </c>
      <c r="I63" s="15">
        <v>3</v>
      </c>
      <c r="J63" s="15">
        <v>1</v>
      </c>
      <c r="K63" s="21">
        <v>3</v>
      </c>
      <c r="L63" s="15">
        <v>2</v>
      </c>
      <c r="M63" s="15">
        <v>1</v>
      </c>
      <c r="N63" s="21">
        <v>3</v>
      </c>
      <c r="O63" s="15">
        <v>4</v>
      </c>
      <c r="P63" s="15">
        <v>3</v>
      </c>
      <c r="Q63" s="21">
        <v>4</v>
      </c>
      <c r="R63" s="15">
        <f t="shared" si="0"/>
        <v>3</v>
      </c>
      <c r="S63" s="15">
        <f t="shared" si="1"/>
        <v>2.3333333333333335</v>
      </c>
      <c r="T63" s="15">
        <f t="shared" si="2"/>
        <v>2</v>
      </c>
      <c r="U63" s="15">
        <f t="shared" si="3"/>
        <v>3.6666666666666665</v>
      </c>
    </row>
    <row r="64" spans="1:21" ht="121.5" x14ac:dyDescent="0.3">
      <c r="A64" s="15">
        <v>10787</v>
      </c>
      <c r="B64" s="15">
        <v>12618</v>
      </c>
      <c r="C64" s="15">
        <v>1</v>
      </c>
      <c r="D64" s="15" t="s">
        <v>4</v>
      </c>
      <c r="E64" s="20" t="s">
        <v>77</v>
      </c>
      <c r="F64" s="15">
        <v>4</v>
      </c>
      <c r="G64" s="15">
        <v>4</v>
      </c>
      <c r="H64" s="21">
        <v>4</v>
      </c>
      <c r="I64" s="15">
        <v>3</v>
      </c>
      <c r="J64" s="15">
        <v>3</v>
      </c>
      <c r="K64" s="21">
        <v>5</v>
      </c>
      <c r="L64" s="15">
        <v>2</v>
      </c>
      <c r="M64" s="15">
        <v>3</v>
      </c>
      <c r="N64" s="21">
        <v>3</v>
      </c>
      <c r="O64" s="15">
        <v>4</v>
      </c>
      <c r="P64" s="15">
        <v>4</v>
      </c>
      <c r="Q64" s="21">
        <v>4</v>
      </c>
      <c r="R64" s="15">
        <f t="shared" si="0"/>
        <v>4</v>
      </c>
      <c r="S64" s="15">
        <f t="shared" si="1"/>
        <v>3.6666666666666665</v>
      </c>
      <c r="T64" s="15">
        <f t="shared" si="2"/>
        <v>2.6666666666666665</v>
      </c>
      <c r="U64" s="15">
        <f t="shared" si="3"/>
        <v>4</v>
      </c>
    </row>
    <row r="65" spans="1:21" ht="40.5" x14ac:dyDescent="0.3">
      <c r="A65" s="15">
        <v>9040</v>
      </c>
      <c r="B65" s="15">
        <v>14306</v>
      </c>
      <c r="C65" s="15">
        <v>1</v>
      </c>
      <c r="D65" s="15" t="s">
        <v>4</v>
      </c>
      <c r="E65" s="20" t="s">
        <v>78</v>
      </c>
      <c r="F65" s="15">
        <v>3</v>
      </c>
      <c r="G65" s="15">
        <v>3</v>
      </c>
      <c r="H65" s="21">
        <v>3</v>
      </c>
      <c r="I65" s="15">
        <v>3</v>
      </c>
      <c r="J65" s="15">
        <v>1</v>
      </c>
      <c r="K65" s="21">
        <v>3</v>
      </c>
      <c r="L65" s="15">
        <v>2</v>
      </c>
      <c r="M65" s="15">
        <v>1</v>
      </c>
      <c r="N65" s="21">
        <v>1</v>
      </c>
      <c r="O65" s="15">
        <v>3</v>
      </c>
      <c r="P65" s="15">
        <v>3</v>
      </c>
      <c r="Q65" s="21">
        <v>3</v>
      </c>
      <c r="R65" s="15">
        <f t="shared" si="0"/>
        <v>3</v>
      </c>
      <c r="S65" s="15">
        <f t="shared" si="1"/>
        <v>2.3333333333333335</v>
      </c>
      <c r="T65" s="15">
        <f t="shared" si="2"/>
        <v>1.3333333333333333</v>
      </c>
      <c r="U65" s="15">
        <f t="shared" si="3"/>
        <v>3</v>
      </c>
    </row>
    <row r="66" spans="1:21" ht="27" x14ac:dyDescent="0.3">
      <c r="A66" s="15">
        <v>8802</v>
      </c>
      <c r="B66" s="15">
        <v>11275</v>
      </c>
      <c r="C66" s="15">
        <v>1</v>
      </c>
      <c r="D66" s="15" t="s">
        <v>4</v>
      </c>
      <c r="E66" s="20" t="s">
        <v>79</v>
      </c>
      <c r="F66" s="15">
        <v>3</v>
      </c>
      <c r="G66" s="15">
        <v>3</v>
      </c>
      <c r="H66" s="21">
        <v>3</v>
      </c>
      <c r="I66" s="15">
        <v>3</v>
      </c>
      <c r="J66" s="15">
        <v>3</v>
      </c>
      <c r="K66" s="21">
        <v>3</v>
      </c>
      <c r="L66" s="15">
        <v>2</v>
      </c>
      <c r="M66" s="15">
        <v>1</v>
      </c>
      <c r="N66" s="21">
        <v>1</v>
      </c>
      <c r="O66" s="15">
        <v>3</v>
      </c>
      <c r="P66" s="15">
        <v>3</v>
      </c>
      <c r="Q66" s="21">
        <v>3</v>
      </c>
      <c r="R66" s="15">
        <f t="shared" si="0"/>
        <v>3</v>
      </c>
      <c r="S66" s="15">
        <f t="shared" si="1"/>
        <v>3</v>
      </c>
      <c r="T66" s="15">
        <f t="shared" si="2"/>
        <v>1.3333333333333333</v>
      </c>
      <c r="U66" s="15">
        <f t="shared" si="3"/>
        <v>3</v>
      </c>
    </row>
    <row r="67" spans="1:21" ht="40.5" x14ac:dyDescent="0.3">
      <c r="A67" s="15">
        <v>13455</v>
      </c>
      <c r="B67" s="15">
        <v>14537</v>
      </c>
      <c r="C67" s="15">
        <v>1</v>
      </c>
      <c r="D67" s="15" t="s">
        <v>4</v>
      </c>
      <c r="E67" s="20" t="s">
        <v>80</v>
      </c>
      <c r="F67" s="15">
        <v>3</v>
      </c>
      <c r="G67" s="15">
        <v>3</v>
      </c>
      <c r="H67" s="21">
        <v>3</v>
      </c>
      <c r="I67" s="15">
        <v>4</v>
      </c>
      <c r="J67" s="15">
        <v>3</v>
      </c>
      <c r="K67" s="21">
        <v>3</v>
      </c>
      <c r="L67" s="15">
        <v>2</v>
      </c>
      <c r="M67" s="15">
        <v>1</v>
      </c>
      <c r="N67" s="21">
        <v>1</v>
      </c>
      <c r="O67" s="15">
        <v>3</v>
      </c>
      <c r="P67" s="15">
        <v>3</v>
      </c>
      <c r="Q67" s="21">
        <v>3</v>
      </c>
      <c r="R67" s="15">
        <f t="shared" ref="R67:R130" si="4">AVERAGE(F67:H67)</f>
        <v>3</v>
      </c>
      <c r="S67" s="15">
        <f t="shared" ref="S67:S130" si="5">AVERAGE(I67:K67)</f>
        <v>3.3333333333333335</v>
      </c>
      <c r="T67" s="15">
        <f t="shared" ref="T67:T130" si="6">AVERAGE(L67:N67)</f>
        <v>1.3333333333333333</v>
      </c>
      <c r="U67" s="15">
        <f t="shared" ref="U67:U130" si="7">AVERAGE(O67:Q67)</f>
        <v>3</v>
      </c>
    </row>
    <row r="68" spans="1:21" ht="40.5" x14ac:dyDescent="0.3">
      <c r="A68" s="15">
        <v>10343</v>
      </c>
      <c r="B68" s="15">
        <v>15259</v>
      </c>
      <c r="C68" s="15">
        <v>1</v>
      </c>
      <c r="D68" s="15" t="s">
        <v>4</v>
      </c>
      <c r="E68" s="20" t="s">
        <v>81</v>
      </c>
      <c r="F68" s="15">
        <v>3</v>
      </c>
      <c r="G68" s="15">
        <v>3</v>
      </c>
      <c r="H68" s="21">
        <v>3</v>
      </c>
      <c r="I68" s="15">
        <v>3</v>
      </c>
      <c r="J68" s="15">
        <v>3</v>
      </c>
      <c r="K68" s="21">
        <v>3</v>
      </c>
      <c r="L68" s="15">
        <v>2</v>
      </c>
      <c r="M68" s="15">
        <v>1</v>
      </c>
      <c r="N68" s="21">
        <v>3</v>
      </c>
      <c r="O68" s="15">
        <v>3</v>
      </c>
      <c r="P68" s="15">
        <v>3</v>
      </c>
      <c r="Q68" s="21">
        <v>3</v>
      </c>
      <c r="R68" s="15">
        <f t="shared" si="4"/>
        <v>3</v>
      </c>
      <c r="S68" s="15">
        <f t="shared" si="5"/>
        <v>3</v>
      </c>
      <c r="T68" s="15">
        <f t="shared" si="6"/>
        <v>2</v>
      </c>
      <c r="U68" s="15">
        <f t="shared" si="7"/>
        <v>3</v>
      </c>
    </row>
    <row r="69" spans="1:21" ht="40.5" x14ac:dyDescent="0.3">
      <c r="A69" s="15">
        <v>13216</v>
      </c>
      <c r="B69" s="15">
        <v>10343</v>
      </c>
      <c r="C69" s="15">
        <v>1</v>
      </c>
      <c r="D69" s="15" t="s">
        <v>4</v>
      </c>
      <c r="E69" s="20" t="s">
        <v>82</v>
      </c>
      <c r="F69" s="15">
        <v>3</v>
      </c>
      <c r="G69" s="15">
        <v>3</v>
      </c>
      <c r="H69" s="21">
        <v>3</v>
      </c>
      <c r="I69" s="15">
        <v>3</v>
      </c>
      <c r="J69" s="15">
        <v>3</v>
      </c>
      <c r="K69" s="21">
        <v>3</v>
      </c>
      <c r="L69" s="15">
        <v>2</v>
      </c>
      <c r="M69" s="15">
        <v>1</v>
      </c>
      <c r="N69" s="21">
        <v>3</v>
      </c>
      <c r="O69" s="15">
        <v>4</v>
      </c>
      <c r="P69" s="15">
        <v>3</v>
      </c>
      <c r="Q69" s="21">
        <v>3</v>
      </c>
      <c r="R69" s="15">
        <f t="shared" si="4"/>
        <v>3</v>
      </c>
      <c r="S69" s="15">
        <f t="shared" si="5"/>
        <v>3</v>
      </c>
      <c r="T69" s="15">
        <f t="shared" si="6"/>
        <v>2</v>
      </c>
      <c r="U69" s="15">
        <f t="shared" si="7"/>
        <v>3.3333333333333335</v>
      </c>
    </row>
    <row r="70" spans="1:21" ht="40.5" x14ac:dyDescent="0.3">
      <c r="A70" s="15">
        <v>5428</v>
      </c>
      <c r="B70" s="15">
        <v>10617</v>
      </c>
      <c r="C70" s="15">
        <v>1</v>
      </c>
      <c r="D70" s="15" t="s">
        <v>4</v>
      </c>
      <c r="E70" s="20" t="s">
        <v>83</v>
      </c>
      <c r="F70" s="15">
        <v>3</v>
      </c>
      <c r="G70" s="15">
        <v>3</v>
      </c>
      <c r="H70" s="21">
        <v>3</v>
      </c>
      <c r="I70" s="15">
        <v>3</v>
      </c>
      <c r="J70" s="15">
        <v>3</v>
      </c>
      <c r="K70" s="21">
        <v>3</v>
      </c>
      <c r="L70" s="15">
        <v>2</v>
      </c>
      <c r="M70" s="15">
        <v>1</v>
      </c>
      <c r="N70" s="21">
        <v>1</v>
      </c>
      <c r="O70" s="15">
        <v>3</v>
      </c>
      <c r="P70" s="15">
        <v>2</v>
      </c>
      <c r="Q70" s="21">
        <v>3</v>
      </c>
      <c r="R70" s="15">
        <f t="shared" si="4"/>
        <v>3</v>
      </c>
      <c r="S70" s="15">
        <f t="shared" si="5"/>
        <v>3</v>
      </c>
      <c r="T70" s="15">
        <f t="shared" si="6"/>
        <v>1.3333333333333333</v>
      </c>
      <c r="U70" s="15">
        <f t="shared" si="7"/>
        <v>2.6666666666666665</v>
      </c>
    </row>
    <row r="71" spans="1:21" ht="40.5" x14ac:dyDescent="0.3">
      <c r="A71" s="15">
        <v>3048</v>
      </c>
      <c r="B71" s="15">
        <v>12112</v>
      </c>
      <c r="C71" s="15">
        <v>1</v>
      </c>
      <c r="D71" s="15" t="s">
        <v>50</v>
      </c>
      <c r="E71" s="20" t="s">
        <v>84</v>
      </c>
      <c r="F71" s="15">
        <v>3</v>
      </c>
      <c r="G71" s="15">
        <v>3</v>
      </c>
      <c r="H71" s="21">
        <v>3</v>
      </c>
      <c r="I71" s="15">
        <v>3</v>
      </c>
      <c r="J71" s="15">
        <v>3</v>
      </c>
      <c r="K71" s="21">
        <v>3</v>
      </c>
      <c r="L71" s="15">
        <v>3</v>
      </c>
      <c r="M71" s="15">
        <v>1</v>
      </c>
      <c r="N71" s="21">
        <v>3</v>
      </c>
      <c r="O71" s="15">
        <v>3</v>
      </c>
      <c r="P71" s="15">
        <v>3</v>
      </c>
      <c r="Q71" s="21">
        <v>3</v>
      </c>
      <c r="R71" s="15">
        <f t="shared" si="4"/>
        <v>3</v>
      </c>
      <c r="S71" s="15">
        <f t="shared" si="5"/>
        <v>3</v>
      </c>
      <c r="T71" s="15">
        <f t="shared" si="6"/>
        <v>2.3333333333333335</v>
      </c>
      <c r="U71" s="15">
        <f t="shared" si="7"/>
        <v>3</v>
      </c>
    </row>
    <row r="72" spans="1:21" ht="27" x14ac:dyDescent="0.3">
      <c r="A72" s="15">
        <v>2609</v>
      </c>
      <c r="B72" s="15">
        <v>11117</v>
      </c>
      <c r="C72" s="15">
        <v>1</v>
      </c>
      <c r="D72" s="15" t="s">
        <v>4</v>
      </c>
      <c r="E72" s="20" t="s">
        <v>85</v>
      </c>
      <c r="F72" s="15">
        <v>3</v>
      </c>
      <c r="G72" s="15">
        <v>3</v>
      </c>
      <c r="H72" s="21">
        <v>3</v>
      </c>
      <c r="I72" s="15">
        <v>3</v>
      </c>
      <c r="J72" s="15">
        <v>1</v>
      </c>
      <c r="K72" s="21">
        <v>3</v>
      </c>
      <c r="L72" s="15">
        <v>2</v>
      </c>
      <c r="M72" s="15">
        <v>1</v>
      </c>
      <c r="N72" s="21">
        <v>2</v>
      </c>
      <c r="O72" s="15">
        <v>4</v>
      </c>
      <c r="P72" s="15">
        <v>2</v>
      </c>
      <c r="Q72" s="21">
        <v>3</v>
      </c>
      <c r="R72" s="15">
        <f t="shared" si="4"/>
        <v>3</v>
      </c>
      <c r="S72" s="15">
        <f t="shared" si="5"/>
        <v>2.3333333333333335</v>
      </c>
      <c r="T72" s="15">
        <f t="shared" si="6"/>
        <v>1.6666666666666667</v>
      </c>
      <c r="U72" s="15">
        <f t="shared" si="7"/>
        <v>3</v>
      </c>
    </row>
    <row r="73" spans="1:21" ht="67.5" x14ac:dyDescent="0.3">
      <c r="A73" s="15">
        <v>6003</v>
      </c>
      <c r="B73" s="15">
        <v>10327</v>
      </c>
      <c r="C73" s="15">
        <v>1</v>
      </c>
      <c r="D73" s="15" t="s">
        <v>4</v>
      </c>
      <c r="E73" s="20" t="s">
        <v>86</v>
      </c>
      <c r="F73" s="15">
        <v>4</v>
      </c>
      <c r="G73" s="15">
        <v>4</v>
      </c>
      <c r="H73" s="21">
        <v>4</v>
      </c>
      <c r="I73" s="15">
        <v>3</v>
      </c>
      <c r="J73" s="15">
        <v>1</v>
      </c>
      <c r="K73" s="21">
        <v>5</v>
      </c>
      <c r="L73" s="15">
        <v>2</v>
      </c>
      <c r="M73" s="15">
        <v>1</v>
      </c>
      <c r="N73" s="21">
        <v>3</v>
      </c>
      <c r="O73" s="15">
        <v>4</v>
      </c>
      <c r="P73" s="15">
        <v>4</v>
      </c>
      <c r="Q73" s="21">
        <v>4</v>
      </c>
      <c r="R73" s="15">
        <f t="shared" si="4"/>
        <v>4</v>
      </c>
      <c r="S73" s="15">
        <f t="shared" si="5"/>
        <v>3</v>
      </c>
      <c r="T73" s="15">
        <f t="shared" si="6"/>
        <v>2</v>
      </c>
      <c r="U73" s="15">
        <f t="shared" si="7"/>
        <v>4</v>
      </c>
    </row>
    <row r="74" spans="1:21" ht="40.5" x14ac:dyDescent="0.3">
      <c r="A74" s="15">
        <v>6191</v>
      </c>
      <c r="B74" s="15">
        <v>12500</v>
      </c>
      <c r="C74" s="15">
        <v>1</v>
      </c>
      <c r="D74" s="15" t="s">
        <v>4</v>
      </c>
      <c r="E74" s="20" t="s">
        <v>87</v>
      </c>
      <c r="F74" s="15">
        <v>3</v>
      </c>
      <c r="G74" s="15">
        <v>3</v>
      </c>
      <c r="H74" s="21">
        <v>3</v>
      </c>
      <c r="I74" s="15">
        <v>3</v>
      </c>
      <c r="J74" s="15">
        <v>3</v>
      </c>
      <c r="K74" s="21">
        <v>3</v>
      </c>
      <c r="L74" s="15">
        <v>2</v>
      </c>
      <c r="M74" s="15">
        <v>3</v>
      </c>
      <c r="N74" s="21">
        <v>3</v>
      </c>
      <c r="O74" s="15">
        <v>4</v>
      </c>
      <c r="P74" s="15">
        <v>3</v>
      </c>
      <c r="Q74" s="21">
        <v>4</v>
      </c>
      <c r="R74" s="15">
        <f t="shared" si="4"/>
        <v>3</v>
      </c>
      <c r="S74" s="15">
        <f t="shared" si="5"/>
        <v>3</v>
      </c>
      <c r="T74" s="15">
        <f t="shared" si="6"/>
        <v>2.6666666666666665</v>
      </c>
      <c r="U74" s="15">
        <f t="shared" si="7"/>
        <v>3.6666666666666665</v>
      </c>
    </row>
    <row r="75" spans="1:21" ht="94.5" x14ac:dyDescent="0.3">
      <c r="A75" s="15">
        <v>5230</v>
      </c>
      <c r="B75" s="15">
        <v>12840</v>
      </c>
      <c r="C75" s="15">
        <v>1</v>
      </c>
      <c r="D75" s="15" t="s">
        <v>23</v>
      </c>
      <c r="E75" s="20" t="s">
        <v>88</v>
      </c>
      <c r="F75" s="15">
        <v>4</v>
      </c>
      <c r="G75" s="15">
        <v>4</v>
      </c>
      <c r="H75" s="21">
        <v>4</v>
      </c>
      <c r="I75" s="15">
        <v>4</v>
      </c>
      <c r="J75" s="15">
        <v>1</v>
      </c>
      <c r="K75" s="21">
        <v>5</v>
      </c>
      <c r="L75" s="15">
        <v>2</v>
      </c>
      <c r="M75" s="15">
        <v>1</v>
      </c>
      <c r="N75" s="21">
        <v>3</v>
      </c>
      <c r="O75" s="15">
        <v>3</v>
      </c>
      <c r="P75" s="15">
        <v>4</v>
      </c>
      <c r="Q75" s="21">
        <v>4</v>
      </c>
      <c r="R75" s="15">
        <f t="shared" si="4"/>
        <v>4</v>
      </c>
      <c r="S75" s="15">
        <f t="shared" si="5"/>
        <v>3.3333333333333335</v>
      </c>
      <c r="T75" s="15">
        <f t="shared" si="6"/>
        <v>2</v>
      </c>
      <c r="U75" s="15">
        <f t="shared" si="7"/>
        <v>3.6666666666666665</v>
      </c>
    </row>
    <row r="76" spans="1:21" ht="67.5" x14ac:dyDescent="0.3">
      <c r="A76" s="15">
        <v>9128</v>
      </c>
      <c r="B76" s="15">
        <v>13380</v>
      </c>
      <c r="C76" s="15">
        <v>1</v>
      </c>
      <c r="D76" s="15" t="s">
        <v>11</v>
      </c>
      <c r="E76" s="20" t="s">
        <v>89</v>
      </c>
      <c r="F76" s="15">
        <v>4</v>
      </c>
      <c r="G76" s="15">
        <v>3</v>
      </c>
      <c r="H76" s="21">
        <v>4</v>
      </c>
      <c r="I76" s="15">
        <v>3</v>
      </c>
      <c r="J76" s="15">
        <v>3</v>
      </c>
      <c r="K76" s="21">
        <v>3</v>
      </c>
      <c r="L76" s="15">
        <v>2</v>
      </c>
      <c r="M76" s="15">
        <v>1</v>
      </c>
      <c r="N76" s="21">
        <v>3</v>
      </c>
      <c r="O76" s="15">
        <v>4</v>
      </c>
      <c r="P76" s="15">
        <v>3</v>
      </c>
      <c r="Q76" s="21">
        <v>4</v>
      </c>
      <c r="R76" s="15">
        <f t="shared" si="4"/>
        <v>3.6666666666666665</v>
      </c>
      <c r="S76" s="15">
        <f t="shared" si="5"/>
        <v>3</v>
      </c>
      <c r="T76" s="15">
        <f t="shared" si="6"/>
        <v>2</v>
      </c>
      <c r="U76" s="15">
        <f t="shared" si="7"/>
        <v>3.6666666666666665</v>
      </c>
    </row>
    <row r="77" spans="1:21" ht="54" x14ac:dyDescent="0.3">
      <c r="A77" s="15">
        <v>10815</v>
      </c>
      <c r="B77" s="15">
        <v>10081</v>
      </c>
      <c r="C77" s="15">
        <v>1</v>
      </c>
      <c r="D77" s="15" t="s">
        <v>4</v>
      </c>
      <c r="E77" s="20" t="s">
        <v>90</v>
      </c>
      <c r="F77" s="15">
        <v>3</v>
      </c>
      <c r="G77" s="15">
        <v>3</v>
      </c>
      <c r="H77" s="21">
        <v>3</v>
      </c>
      <c r="I77" s="15">
        <v>4</v>
      </c>
      <c r="J77" s="15">
        <v>3</v>
      </c>
      <c r="K77" s="21">
        <v>3</v>
      </c>
      <c r="L77" s="15">
        <v>2</v>
      </c>
      <c r="M77" s="15">
        <v>1</v>
      </c>
      <c r="N77" s="21">
        <v>3</v>
      </c>
      <c r="O77" s="15">
        <v>4</v>
      </c>
      <c r="P77" s="15">
        <v>3</v>
      </c>
      <c r="Q77" s="21">
        <v>3</v>
      </c>
      <c r="R77" s="15">
        <f t="shared" si="4"/>
        <v>3</v>
      </c>
      <c r="S77" s="15">
        <f t="shared" si="5"/>
        <v>3.3333333333333335</v>
      </c>
      <c r="T77" s="15">
        <f t="shared" si="6"/>
        <v>2</v>
      </c>
      <c r="U77" s="15">
        <f t="shared" si="7"/>
        <v>3.3333333333333335</v>
      </c>
    </row>
    <row r="78" spans="1:21" ht="81" x14ac:dyDescent="0.3">
      <c r="A78" s="15">
        <v>837</v>
      </c>
      <c r="B78" s="15">
        <v>14452</v>
      </c>
      <c r="C78" s="15">
        <v>1</v>
      </c>
      <c r="D78" s="15" t="s">
        <v>4</v>
      </c>
      <c r="E78" s="20" t="s">
        <v>91</v>
      </c>
      <c r="F78" s="15">
        <v>4</v>
      </c>
      <c r="G78" s="15">
        <v>4</v>
      </c>
      <c r="H78" s="21">
        <v>3</v>
      </c>
      <c r="I78" s="15">
        <v>3</v>
      </c>
      <c r="J78" s="15">
        <v>3</v>
      </c>
      <c r="K78" s="21">
        <v>5</v>
      </c>
      <c r="L78" s="15">
        <v>3</v>
      </c>
      <c r="M78" s="15">
        <v>1</v>
      </c>
      <c r="N78" s="21">
        <v>3</v>
      </c>
      <c r="O78" s="15">
        <v>4</v>
      </c>
      <c r="P78" s="15">
        <v>4</v>
      </c>
      <c r="Q78" s="21">
        <v>3</v>
      </c>
      <c r="R78" s="15">
        <f t="shared" si="4"/>
        <v>3.6666666666666665</v>
      </c>
      <c r="S78" s="15">
        <f t="shared" si="5"/>
        <v>3.6666666666666665</v>
      </c>
      <c r="T78" s="15">
        <f t="shared" si="6"/>
        <v>2.3333333333333335</v>
      </c>
      <c r="U78" s="15">
        <f t="shared" si="7"/>
        <v>3.6666666666666665</v>
      </c>
    </row>
    <row r="79" spans="1:21" ht="54" x14ac:dyDescent="0.3">
      <c r="A79" s="15">
        <v>9868</v>
      </c>
      <c r="B79" s="15">
        <v>14662</v>
      </c>
      <c r="C79" s="15">
        <v>1</v>
      </c>
      <c r="D79" s="15" t="s">
        <v>4</v>
      </c>
      <c r="E79" s="20" t="s">
        <v>92</v>
      </c>
      <c r="F79" s="15">
        <v>3</v>
      </c>
      <c r="G79" s="15">
        <v>3</v>
      </c>
      <c r="H79" s="21">
        <v>3</v>
      </c>
      <c r="I79" s="15">
        <v>4</v>
      </c>
      <c r="J79" s="15">
        <v>1</v>
      </c>
      <c r="K79" s="21">
        <v>3</v>
      </c>
      <c r="L79" s="15">
        <v>2</v>
      </c>
      <c r="M79" s="15">
        <v>1</v>
      </c>
      <c r="N79" s="21">
        <v>3</v>
      </c>
      <c r="O79" s="15">
        <v>4</v>
      </c>
      <c r="P79" s="15">
        <v>3</v>
      </c>
      <c r="Q79" s="21">
        <v>3</v>
      </c>
      <c r="R79" s="15">
        <f t="shared" si="4"/>
        <v>3</v>
      </c>
      <c r="S79" s="15">
        <f t="shared" si="5"/>
        <v>2.6666666666666665</v>
      </c>
      <c r="T79" s="15">
        <f t="shared" si="6"/>
        <v>2</v>
      </c>
      <c r="U79" s="15">
        <f t="shared" si="7"/>
        <v>3.3333333333333335</v>
      </c>
    </row>
    <row r="80" spans="1:21" ht="40.5" x14ac:dyDescent="0.3">
      <c r="A80" s="15">
        <v>6635</v>
      </c>
      <c r="B80" s="15">
        <v>12497</v>
      </c>
      <c r="C80" s="15">
        <v>1</v>
      </c>
      <c r="D80" s="15" t="s">
        <v>4</v>
      </c>
      <c r="E80" s="20" t="s">
        <v>93</v>
      </c>
      <c r="F80" s="15">
        <v>4</v>
      </c>
      <c r="G80" s="15">
        <v>3</v>
      </c>
      <c r="H80" s="21">
        <v>4</v>
      </c>
      <c r="I80" s="15">
        <v>3</v>
      </c>
      <c r="J80" s="15">
        <v>1</v>
      </c>
      <c r="K80" s="21">
        <v>3</v>
      </c>
      <c r="L80" s="15">
        <v>2</v>
      </c>
      <c r="M80" s="15">
        <v>1</v>
      </c>
      <c r="N80" s="21">
        <v>3</v>
      </c>
      <c r="O80" s="15">
        <v>4</v>
      </c>
      <c r="P80" s="15">
        <v>3</v>
      </c>
      <c r="Q80" s="21">
        <v>4</v>
      </c>
      <c r="R80" s="15">
        <f t="shared" si="4"/>
        <v>3.6666666666666665</v>
      </c>
      <c r="S80" s="15">
        <f t="shared" si="5"/>
        <v>2.3333333333333335</v>
      </c>
      <c r="T80" s="15">
        <f t="shared" si="6"/>
        <v>2</v>
      </c>
      <c r="U80" s="15">
        <f t="shared" si="7"/>
        <v>3.6666666666666665</v>
      </c>
    </row>
    <row r="81" spans="1:21" ht="40.5" x14ac:dyDescent="0.3">
      <c r="A81" s="15">
        <v>2120</v>
      </c>
      <c r="B81" s="15">
        <v>13000</v>
      </c>
      <c r="C81" s="15">
        <v>1</v>
      </c>
      <c r="D81" s="15" t="s">
        <v>4</v>
      </c>
      <c r="E81" s="20" t="s">
        <v>94</v>
      </c>
      <c r="F81" s="15">
        <v>3</v>
      </c>
      <c r="G81" s="15">
        <v>3</v>
      </c>
      <c r="H81" s="21">
        <v>3</v>
      </c>
      <c r="I81" s="15">
        <v>3</v>
      </c>
      <c r="J81" s="15">
        <v>1</v>
      </c>
      <c r="K81" s="21">
        <v>3</v>
      </c>
      <c r="L81" s="15">
        <v>2</v>
      </c>
      <c r="M81" s="15">
        <v>1</v>
      </c>
      <c r="N81" s="21">
        <v>1</v>
      </c>
      <c r="O81" s="15">
        <v>3</v>
      </c>
      <c r="P81" s="15">
        <v>3</v>
      </c>
      <c r="Q81" s="21">
        <v>3</v>
      </c>
      <c r="R81" s="15">
        <f t="shared" si="4"/>
        <v>3</v>
      </c>
      <c r="S81" s="15">
        <f t="shared" si="5"/>
        <v>2.3333333333333335</v>
      </c>
      <c r="T81" s="15">
        <f t="shared" si="6"/>
        <v>1.3333333333333333</v>
      </c>
      <c r="U81" s="15">
        <f t="shared" si="7"/>
        <v>3</v>
      </c>
    </row>
    <row r="82" spans="1:21" ht="40.5" x14ac:dyDescent="0.3">
      <c r="A82" s="15">
        <v>801</v>
      </c>
      <c r="B82" s="15">
        <v>12704</v>
      </c>
      <c r="C82" s="15">
        <v>1</v>
      </c>
      <c r="D82" s="15" t="s">
        <v>6</v>
      </c>
      <c r="E82" s="20" t="s">
        <v>95</v>
      </c>
      <c r="F82" s="15">
        <v>3</v>
      </c>
      <c r="G82" s="15">
        <v>3</v>
      </c>
      <c r="H82" s="21">
        <v>4</v>
      </c>
      <c r="I82" s="15">
        <v>3</v>
      </c>
      <c r="J82" s="15">
        <v>3</v>
      </c>
      <c r="K82" s="21">
        <v>3</v>
      </c>
      <c r="L82" s="15">
        <v>3</v>
      </c>
      <c r="M82" s="15">
        <v>1</v>
      </c>
      <c r="N82" s="21">
        <v>3</v>
      </c>
      <c r="O82" s="15">
        <v>4</v>
      </c>
      <c r="P82" s="15">
        <v>3</v>
      </c>
      <c r="Q82" s="21">
        <v>4</v>
      </c>
      <c r="R82" s="15">
        <f t="shared" si="4"/>
        <v>3.3333333333333335</v>
      </c>
      <c r="S82" s="15">
        <f t="shared" si="5"/>
        <v>3</v>
      </c>
      <c r="T82" s="15">
        <f t="shared" si="6"/>
        <v>2.3333333333333335</v>
      </c>
      <c r="U82" s="15">
        <f t="shared" si="7"/>
        <v>3.6666666666666665</v>
      </c>
    </row>
    <row r="83" spans="1:21" ht="40.5" x14ac:dyDescent="0.3">
      <c r="A83" s="15">
        <v>7516</v>
      </c>
      <c r="B83" s="15">
        <v>14802</v>
      </c>
      <c r="C83" s="15">
        <v>1</v>
      </c>
      <c r="D83" s="15" t="s">
        <v>4</v>
      </c>
      <c r="E83" s="20" t="s">
        <v>96</v>
      </c>
      <c r="F83" s="15">
        <v>3</v>
      </c>
      <c r="G83" s="15">
        <v>3</v>
      </c>
      <c r="H83" s="21">
        <v>4</v>
      </c>
      <c r="I83" s="15">
        <v>3</v>
      </c>
      <c r="J83" s="15">
        <v>3</v>
      </c>
      <c r="K83" s="21">
        <v>3</v>
      </c>
      <c r="L83" s="15">
        <v>2</v>
      </c>
      <c r="M83" s="15">
        <v>1</v>
      </c>
      <c r="N83" s="21">
        <v>3</v>
      </c>
      <c r="O83" s="15">
        <v>4</v>
      </c>
      <c r="P83" s="15">
        <v>3</v>
      </c>
      <c r="Q83" s="21">
        <v>3</v>
      </c>
      <c r="R83" s="15">
        <f t="shared" si="4"/>
        <v>3.3333333333333335</v>
      </c>
      <c r="S83" s="15">
        <f t="shared" si="5"/>
        <v>3</v>
      </c>
      <c r="T83" s="15">
        <f t="shared" si="6"/>
        <v>2</v>
      </c>
      <c r="U83" s="15">
        <f t="shared" si="7"/>
        <v>3.3333333333333335</v>
      </c>
    </row>
    <row r="84" spans="1:21" ht="54" x14ac:dyDescent="0.3">
      <c r="A84" s="15">
        <v>3705</v>
      </c>
      <c r="B84" s="15">
        <v>11148</v>
      </c>
      <c r="C84" s="15">
        <v>1</v>
      </c>
      <c r="D84" s="15" t="s">
        <v>4</v>
      </c>
      <c r="E84" s="20" t="s">
        <v>97</v>
      </c>
      <c r="F84" s="15">
        <v>4</v>
      </c>
      <c r="G84" s="15">
        <v>3</v>
      </c>
      <c r="H84" s="21">
        <v>4</v>
      </c>
      <c r="I84" s="15">
        <v>3</v>
      </c>
      <c r="J84" s="15">
        <v>3</v>
      </c>
      <c r="K84" s="21">
        <v>3</v>
      </c>
      <c r="L84" s="15">
        <v>2</v>
      </c>
      <c r="M84" s="15">
        <v>1</v>
      </c>
      <c r="N84" s="21">
        <v>3</v>
      </c>
      <c r="O84" s="15">
        <v>4</v>
      </c>
      <c r="P84" s="15">
        <v>3</v>
      </c>
      <c r="Q84" s="21">
        <v>4</v>
      </c>
      <c r="R84" s="15">
        <f t="shared" si="4"/>
        <v>3.6666666666666665</v>
      </c>
      <c r="S84" s="15">
        <f t="shared" si="5"/>
        <v>3</v>
      </c>
      <c r="T84" s="15">
        <f t="shared" si="6"/>
        <v>2</v>
      </c>
      <c r="U84" s="15">
        <f t="shared" si="7"/>
        <v>3.6666666666666665</v>
      </c>
    </row>
    <row r="85" spans="1:21" ht="54" x14ac:dyDescent="0.3">
      <c r="A85" s="15">
        <v>6650</v>
      </c>
      <c r="B85" s="15">
        <v>14624</v>
      </c>
      <c r="C85" s="15">
        <v>1</v>
      </c>
      <c r="D85" s="15" t="s">
        <v>4</v>
      </c>
      <c r="E85" s="20" t="s">
        <v>98</v>
      </c>
      <c r="F85" s="15">
        <v>3</v>
      </c>
      <c r="G85" s="15">
        <v>3</v>
      </c>
      <c r="H85" s="21">
        <v>4</v>
      </c>
      <c r="I85" s="15">
        <v>3</v>
      </c>
      <c r="J85" s="15">
        <v>1</v>
      </c>
      <c r="K85" s="21">
        <v>3</v>
      </c>
      <c r="L85" s="15">
        <v>2</v>
      </c>
      <c r="M85" s="15">
        <v>1</v>
      </c>
      <c r="N85" s="21">
        <v>3</v>
      </c>
      <c r="O85" s="15">
        <v>3</v>
      </c>
      <c r="P85" s="15">
        <v>3</v>
      </c>
      <c r="Q85" s="21">
        <v>4</v>
      </c>
      <c r="R85" s="15">
        <f t="shared" si="4"/>
        <v>3.3333333333333335</v>
      </c>
      <c r="S85" s="15">
        <f t="shared" si="5"/>
        <v>2.3333333333333335</v>
      </c>
      <c r="T85" s="15">
        <f t="shared" si="6"/>
        <v>2</v>
      </c>
      <c r="U85" s="15">
        <f t="shared" si="7"/>
        <v>3.3333333333333335</v>
      </c>
    </row>
    <row r="86" spans="1:21" ht="40.5" x14ac:dyDescent="0.3">
      <c r="A86" s="15">
        <v>7762</v>
      </c>
      <c r="B86" s="15">
        <v>10487</v>
      </c>
      <c r="C86" s="15">
        <v>1</v>
      </c>
      <c r="D86" s="15" t="s">
        <v>4</v>
      </c>
      <c r="E86" s="20" t="s">
        <v>99</v>
      </c>
      <c r="F86" s="15">
        <v>4</v>
      </c>
      <c r="G86" s="15">
        <v>3</v>
      </c>
      <c r="H86" s="21">
        <v>4</v>
      </c>
      <c r="I86" s="15">
        <v>1</v>
      </c>
      <c r="J86" s="15">
        <v>1</v>
      </c>
      <c r="K86" s="21">
        <v>1</v>
      </c>
      <c r="L86" s="15">
        <v>1</v>
      </c>
      <c r="M86" s="15">
        <v>1</v>
      </c>
      <c r="N86" s="21">
        <v>1</v>
      </c>
      <c r="O86" s="15">
        <v>4</v>
      </c>
      <c r="P86" s="15">
        <v>3</v>
      </c>
      <c r="Q86" s="21">
        <v>4</v>
      </c>
      <c r="R86" s="15">
        <f t="shared" si="4"/>
        <v>3.6666666666666665</v>
      </c>
      <c r="S86" s="15">
        <f t="shared" si="5"/>
        <v>1</v>
      </c>
      <c r="T86" s="15">
        <f t="shared" si="6"/>
        <v>1</v>
      </c>
      <c r="U86" s="15">
        <f t="shared" si="7"/>
        <v>3.6666666666666665</v>
      </c>
    </row>
    <row r="87" spans="1:21" ht="54" x14ac:dyDescent="0.3">
      <c r="A87" s="15">
        <v>539</v>
      </c>
      <c r="B87" s="15">
        <v>13903</v>
      </c>
      <c r="C87" s="15">
        <v>1</v>
      </c>
      <c r="D87" s="15" t="s">
        <v>11</v>
      </c>
      <c r="E87" s="20" t="s">
        <v>100</v>
      </c>
      <c r="F87" s="15">
        <v>3</v>
      </c>
      <c r="G87" s="15">
        <v>3</v>
      </c>
      <c r="H87" s="21">
        <v>4</v>
      </c>
      <c r="I87" s="15">
        <v>3</v>
      </c>
      <c r="J87" s="15">
        <v>3</v>
      </c>
      <c r="K87" s="21">
        <v>3</v>
      </c>
      <c r="L87" s="15">
        <v>2</v>
      </c>
      <c r="M87" s="15">
        <v>1</v>
      </c>
      <c r="N87" s="21">
        <v>3</v>
      </c>
      <c r="O87" s="15">
        <v>4</v>
      </c>
      <c r="P87" s="15">
        <v>3</v>
      </c>
      <c r="Q87" s="21">
        <v>4</v>
      </c>
      <c r="R87" s="15">
        <f t="shared" si="4"/>
        <v>3.3333333333333335</v>
      </c>
      <c r="S87" s="15">
        <f t="shared" si="5"/>
        <v>3</v>
      </c>
      <c r="T87" s="15">
        <f t="shared" si="6"/>
        <v>2</v>
      </c>
      <c r="U87" s="15">
        <f t="shared" si="7"/>
        <v>3.6666666666666665</v>
      </c>
    </row>
    <row r="88" spans="1:21" ht="40.5" x14ac:dyDescent="0.3">
      <c r="A88" s="15">
        <v>16027</v>
      </c>
      <c r="B88" s="15">
        <v>14863</v>
      </c>
      <c r="C88" s="15">
        <v>1</v>
      </c>
      <c r="D88" s="15" t="s">
        <v>4</v>
      </c>
      <c r="E88" s="20" t="s">
        <v>101</v>
      </c>
      <c r="F88" s="15">
        <v>3</v>
      </c>
      <c r="G88" s="15">
        <v>3</v>
      </c>
      <c r="H88" s="21">
        <v>3</v>
      </c>
      <c r="I88" s="15">
        <v>4</v>
      </c>
      <c r="J88" s="15">
        <v>3</v>
      </c>
      <c r="K88" s="21">
        <v>3</v>
      </c>
      <c r="L88" s="15">
        <v>2</v>
      </c>
      <c r="M88" s="15">
        <v>1</v>
      </c>
      <c r="N88" s="21">
        <v>3</v>
      </c>
      <c r="O88" s="15">
        <v>3</v>
      </c>
      <c r="P88" s="15">
        <v>3</v>
      </c>
      <c r="Q88" s="21">
        <v>3</v>
      </c>
      <c r="R88" s="15">
        <f t="shared" si="4"/>
        <v>3</v>
      </c>
      <c r="S88" s="15">
        <f t="shared" si="5"/>
        <v>3.3333333333333335</v>
      </c>
      <c r="T88" s="15">
        <f t="shared" si="6"/>
        <v>2</v>
      </c>
      <c r="U88" s="15">
        <f t="shared" si="7"/>
        <v>3</v>
      </c>
    </row>
    <row r="89" spans="1:21" ht="54" x14ac:dyDescent="0.3">
      <c r="A89" s="15">
        <v>5328</v>
      </c>
      <c r="B89" s="15">
        <v>12981</v>
      </c>
      <c r="C89" s="15">
        <v>1</v>
      </c>
      <c r="D89" s="15" t="s">
        <v>40</v>
      </c>
      <c r="E89" s="20" t="s">
        <v>102</v>
      </c>
      <c r="F89" s="15">
        <v>4</v>
      </c>
      <c r="G89" s="15">
        <v>3</v>
      </c>
      <c r="H89" s="21">
        <v>4</v>
      </c>
      <c r="I89" s="15">
        <v>3</v>
      </c>
      <c r="J89" s="15">
        <v>3</v>
      </c>
      <c r="K89" s="21">
        <v>3</v>
      </c>
      <c r="L89" s="15">
        <v>2</v>
      </c>
      <c r="M89" s="15">
        <v>3</v>
      </c>
      <c r="N89" s="21">
        <v>3</v>
      </c>
      <c r="O89" s="15">
        <v>4</v>
      </c>
      <c r="P89" s="15">
        <v>3</v>
      </c>
      <c r="Q89" s="21">
        <v>4</v>
      </c>
      <c r="R89" s="15">
        <f t="shared" si="4"/>
        <v>3.6666666666666665</v>
      </c>
      <c r="S89" s="15">
        <f t="shared" si="5"/>
        <v>3</v>
      </c>
      <c r="T89" s="15">
        <f t="shared" si="6"/>
        <v>2.6666666666666665</v>
      </c>
      <c r="U89" s="15">
        <f t="shared" si="7"/>
        <v>3.6666666666666665</v>
      </c>
    </row>
    <row r="90" spans="1:21" ht="67.5" x14ac:dyDescent="0.3">
      <c r="A90" s="15">
        <v>5849</v>
      </c>
      <c r="B90" s="15">
        <v>14012</v>
      </c>
      <c r="C90" s="15">
        <v>1</v>
      </c>
      <c r="D90" s="15" t="s">
        <v>11</v>
      </c>
      <c r="E90" s="20" t="s">
        <v>103</v>
      </c>
      <c r="F90" s="15">
        <v>3</v>
      </c>
      <c r="G90" s="15">
        <v>3</v>
      </c>
      <c r="H90" s="21">
        <v>4</v>
      </c>
      <c r="I90" s="15">
        <v>3</v>
      </c>
      <c r="J90" s="15">
        <v>3</v>
      </c>
      <c r="K90" s="21">
        <v>3</v>
      </c>
      <c r="L90" s="15">
        <v>2</v>
      </c>
      <c r="M90" s="15">
        <v>1</v>
      </c>
      <c r="N90" s="21">
        <v>3</v>
      </c>
      <c r="O90" s="15">
        <v>3</v>
      </c>
      <c r="P90" s="15">
        <v>3</v>
      </c>
      <c r="Q90" s="21">
        <v>4</v>
      </c>
      <c r="R90" s="15">
        <f t="shared" si="4"/>
        <v>3.3333333333333335</v>
      </c>
      <c r="S90" s="15">
        <f t="shared" si="5"/>
        <v>3</v>
      </c>
      <c r="T90" s="15">
        <f t="shared" si="6"/>
        <v>2</v>
      </c>
      <c r="U90" s="15">
        <f t="shared" si="7"/>
        <v>3.3333333333333335</v>
      </c>
    </row>
    <row r="91" spans="1:21" ht="54" x14ac:dyDescent="0.3">
      <c r="A91" s="15">
        <v>15875</v>
      </c>
      <c r="B91" s="15">
        <v>13645</v>
      </c>
      <c r="C91" s="15">
        <v>1</v>
      </c>
      <c r="D91" s="15" t="s">
        <v>11</v>
      </c>
      <c r="E91" s="20" t="s">
        <v>104</v>
      </c>
      <c r="F91" s="15">
        <v>3</v>
      </c>
      <c r="G91" s="15">
        <v>4</v>
      </c>
      <c r="H91" s="21">
        <v>4</v>
      </c>
      <c r="I91" s="15">
        <v>3</v>
      </c>
      <c r="J91" s="15">
        <v>3</v>
      </c>
      <c r="K91" s="21">
        <v>3</v>
      </c>
      <c r="L91" s="15">
        <v>2</v>
      </c>
      <c r="M91" s="15">
        <v>1</v>
      </c>
      <c r="N91" s="21">
        <v>3</v>
      </c>
      <c r="O91" s="15">
        <v>4</v>
      </c>
      <c r="P91" s="15">
        <v>3</v>
      </c>
      <c r="Q91" s="21">
        <v>4</v>
      </c>
      <c r="R91" s="15">
        <f t="shared" si="4"/>
        <v>3.6666666666666665</v>
      </c>
      <c r="S91" s="15">
        <f t="shared" si="5"/>
        <v>3</v>
      </c>
      <c r="T91" s="15">
        <f t="shared" si="6"/>
        <v>2</v>
      </c>
      <c r="U91" s="15">
        <f t="shared" si="7"/>
        <v>3.6666666666666665</v>
      </c>
    </row>
    <row r="92" spans="1:21" ht="54" x14ac:dyDescent="0.3">
      <c r="A92" s="15">
        <v>15943</v>
      </c>
      <c r="B92" s="15">
        <v>12172</v>
      </c>
      <c r="C92" s="15">
        <v>1</v>
      </c>
      <c r="D92" s="15" t="s">
        <v>45</v>
      </c>
      <c r="E92" s="20" t="s">
        <v>105</v>
      </c>
      <c r="F92" s="15">
        <v>3</v>
      </c>
      <c r="G92" s="15">
        <v>4</v>
      </c>
      <c r="H92" s="21">
        <v>4</v>
      </c>
      <c r="I92" s="15">
        <v>3</v>
      </c>
      <c r="J92" s="15">
        <v>1</v>
      </c>
      <c r="K92" s="21">
        <v>3</v>
      </c>
      <c r="L92" s="15">
        <v>2</v>
      </c>
      <c r="M92" s="15">
        <v>1</v>
      </c>
      <c r="N92" s="21">
        <v>3</v>
      </c>
      <c r="O92" s="15">
        <v>3</v>
      </c>
      <c r="P92" s="15">
        <v>4</v>
      </c>
      <c r="Q92" s="21">
        <v>4</v>
      </c>
      <c r="R92" s="15">
        <f t="shared" si="4"/>
        <v>3.6666666666666665</v>
      </c>
      <c r="S92" s="15">
        <f t="shared" si="5"/>
        <v>2.3333333333333335</v>
      </c>
      <c r="T92" s="15">
        <f t="shared" si="6"/>
        <v>2</v>
      </c>
      <c r="U92" s="15">
        <f t="shared" si="7"/>
        <v>3.6666666666666665</v>
      </c>
    </row>
    <row r="93" spans="1:21" ht="40.5" x14ac:dyDescent="0.3">
      <c r="A93" s="15">
        <v>2011</v>
      </c>
      <c r="B93" s="15">
        <v>11902</v>
      </c>
      <c r="C93" s="15">
        <v>1</v>
      </c>
      <c r="D93" s="15" t="s">
        <v>6</v>
      </c>
      <c r="E93" s="20" t="s">
        <v>106</v>
      </c>
      <c r="F93" s="15">
        <v>4</v>
      </c>
      <c r="G93" s="15">
        <v>4</v>
      </c>
      <c r="H93" s="21">
        <v>4</v>
      </c>
      <c r="I93" s="15">
        <v>3</v>
      </c>
      <c r="J93" s="15">
        <v>1</v>
      </c>
      <c r="K93" s="21">
        <v>4</v>
      </c>
      <c r="L93" s="15">
        <v>3</v>
      </c>
      <c r="M93" s="15">
        <v>1</v>
      </c>
      <c r="N93" s="21">
        <v>3</v>
      </c>
      <c r="O93" s="15">
        <v>4</v>
      </c>
      <c r="P93" s="15">
        <v>4</v>
      </c>
      <c r="Q93" s="21">
        <v>4</v>
      </c>
      <c r="R93" s="15">
        <f t="shared" si="4"/>
        <v>4</v>
      </c>
      <c r="S93" s="15">
        <f t="shared" si="5"/>
        <v>2.6666666666666665</v>
      </c>
      <c r="T93" s="15">
        <f t="shared" si="6"/>
        <v>2.3333333333333335</v>
      </c>
      <c r="U93" s="15">
        <f t="shared" si="7"/>
        <v>4</v>
      </c>
    </row>
    <row r="94" spans="1:21" ht="40.5" x14ac:dyDescent="0.3">
      <c r="A94" s="15">
        <v>13252</v>
      </c>
      <c r="B94" s="15">
        <v>10757</v>
      </c>
      <c r="C94" s="15">
        <v>1</v>
      </c>
      <c r="D94" s="15" t="s">
        <v>4</v>
      </c>
      <c r="E94" s="20" t="s">
        <v>107</v>
      </c>
      <c r="F94" s="15">
        <v>3</v>
      </c>
      <c r="G94" s="15">
        <v>3</v>
      </c>
      <c r="H94" s="21">
        <v>3</v>
      </c>
      <c r="I94" s="15">
        <v>4</v>
      </c>
      <c r="J94" s="15">
        <v>3</v>
      </c>
      <c r="K94" s="21">
        <v>3</v>
      </c>
      <c r="L94" s="15">
        <v>2</v>
      </c>
      <c r="M94" s="15">
        <v>1</v>
      </c>
      <c r="N94" s="21">
        <v>1</v>
      </c>
      <c r="O94" s="15">
        <v>4</v>
      </c>
      <c r="P94" s="15">
        <v>3</v>
      </c>
      <c r="Q94" s="21">
        <v>3</v>
      </c>
      <c r="R94" s="15">
        <f t="shared" si="4"/>
        <v>3</v>
      </c>
      <c r="S94" s="15">
        <f t="shared" si="5"/>
        <v>3.3333333333333335</v>
      </c>
      <c r="T94" s="15">
        <f t="shared" si="6"/>
        <v>1.3333333333333333</v>
      </c>
      <c r="U94" s="15">
        <f t="shared" si="7"/>
        <v>3.3333333333333335</v>
      </c>
    </row>
    <row r="95" spans="1:21" ht="40.5" x14ac:dyDescent="0.3">
      <c r="A95" s="15">
        <v>3177</v>
      </c>
      <c r="B95" s="15">
        <v>11014</v>
      </c>
      <c r="C95" s="15">
        <v>1</v>
      </c>
      <c r="D95" s="15" t="s">
        <v>4</v>
      </c>
      <c r="E95" s="20" t="s">
        <v>108</v>
      </c>
      <c r="F95" s="15">
        <v>4</v>
      </c>
      <c r="G95" s="15">
        <v>3</v>
      </c>
      <c r="H95" s="21">
        <v>3</v>
      </c>
      <c r="I95" s="15">
        <v>3</v>
      </c>
      <c r="J95" s="15">
        <v>1</v>
      </c>
      <c r="K95" s="21">
        <v>1</v>
      </c>
      <c r="L95" s="15">
        <v>3</v>
      </c>
      <c r="M95" s="15">
        <v>1</v>
      </c>
      <c r="N95" s="21">
        <v>3</v>
      </c>
      <c r="O95" s="15">
        <v>4</v>
      </c>
      <c r="P95" s="15">
        <v>3</v>
      </c>
      <c r="Q95" s="21">
        <v>3</v>
      </c>
      <c r="R95" s="15">
        <f t="shared" si="4"/>
        <v>3.3333333333333335</v>
      </c>
      <c r="S95" s="15">
        <f t="shared" si="5"/>
        <v>1.6666666666666667</v>
      </c>
      <c r="T95" s="15">
        <f t="shared" si="6"/>
        <v>2.3333333333333335</v>
      </c>
      <c r="U95" s="15">
        <f t="shared" si="7"/>
        <v>3.3333333333333335</v>
      </c>
    </row>
    <row r="96" spans="1:21" ht="40.5" x14ac:dyDescent="0.3">
      <c r="A96" s="15">
        <v>5287</v>
      </c>
      <c r="B96" s="15">
        <v>11745</v>
      </c>
      <c r="C96" s="15">
        <v>1</v>
      </c>
      <c r="D96" s="15" t="s">
        <v>50</v>
      </c>
      <c r="E96" s="20" t="s">
        <v>109</v>
      </c>
      <c r="F96" s="15">
        <v>3</v>
      </c>
      <c r="G96" s="15">
        <v>3</v>
      </c>
      <c r="H96" s="21">
        <v>3</v>
      </c>
      <c r="I96" s="15">
        <v>3</v>
      </c>
      <c r="J96" s="15">
        <v>1</v>
      </c>
      <c r="K96" s="21">
        <v>3</v>
      </c>
      <c r="L96" s="15">
        <v>2</v>
      </c>
      <c r="M96" s="15">
        <v>1</v>
      </c>
      <c r="N96" s="21">
        <v>1</v>
      </c>
      <c r="O96" s="15">
        <v>3</v>
      </c>
      <c r="P96" s="15">
        <v>3</v>
      </c>
      <c r="Q96" s="21">
        <v>3</v>
      </c>
      <c r="R96" s="15">
        <f t="shared" si="4"/>
        <v>3</v>
      </c>
      <c r="S96" s="15">
        <f t="shared" si="5"/>
        <v>2.3333333333333335</v>
      </c>
      <c r="T96" s="15">
        <f t="shared" si="6"/>
        <v>1.3333333333333333</v>
      </c>
      <c r="U96" s="15">
        <f t="shared" si="7"/>
        <v>3</v>
      </c>
    </row>
    <row r="97" spans="1:21" ht="54" x14ac:dyDescent="0.3">
      <c r="A97" s="15">
        <v>15803</v>
      </c>
      <c r="B97" s="15">
        <v>14122</v>
      </c>
      <c r="C97" s="15">
        <v>1</v>
      </c>
      <c r="D97" s="15" t="s">
        <v>11</v>
      </c>
      <c r="E97" s="20" t="s">
        <v>110</v>
      </c>
      <c r="F97" s="15">
        <v>4</v>
      </c>
      <c r="G97" s="15">
        <v>3</v>
      </c>
      <c r="H97" s="21">
        <v>3</v>
      </c>
      <c r="I97" s="15">
        <v>3</v>
      </c>
      <c r="J97" s="15">
        <v>3</v>
      </c>
      <c r="K97" s="21">
        <v>3</v>
      </c>
      <c r="L97" s="15">
        <v>2</v>
      </c>
      <c r="M97" s="15">
        <v>1</v>
      </c>
      <c r="N97" s="21">
        <v>3</v>
      </c>
      <c r="O97" s="15">
        <v>3</v>
      </c>
      <c r="P97" s="15">
        <v>3</v>
      </c>
      <c r="Q97" s="21">
        <v>3</v>
      </c>
      <c r="R97" s="15">
        <f t="shared" si="4"/>
        <v>3.3333333333333335</v>
      </c>
      <c r="S97" s="15">
        <f t="shared" si="5"/>
        <v>3</v>
      </c>
      <c r="T97" s="15">
        <f t="shared" si="6"/>
        <v>2</v>
      </c>
      <c r="U97" s="15">
        <f t="shared" si="7"/>
        <v>3</v>
      </c>
    </row>
    <row r="98" spans="1:21" ht="67.5" x14ac:dyDescent="0.3">
      <c r="A98" s="15">
        <v>5856</v>
      </c>
      <c r="B98" s="15">
        <v>14610</v>
      </c>
      <c r="C98" s="15">
        <v>1</v>
      </c>
      <c r="D98" s="15" t="s">
        <v>4</v>
      </c>
      <c r="E98" s="20" t="s">
        <v>111</v>
      </c>
      <c r="F98" s="15">
        <v>4</v>
      </c>
      <c r="G98" s="15">
        <v>4</v>
      </c>
      <c r="H98" s="21">
        <v>4</v>
      </c>
      <c r="I98" s="15">
        <v>3</v>
      </c>
      <c r="J98" s="15">
        <v>1</v>
      </c>
      <c r="K98" s="21">
        <v>4</v>
      </c>
      <c r="L98" s="15">
        <v>2</v>
      </c>
      <c r="M98" s="15">
        <v>1</v>
      </c>
      <c r="N98" s="21">
        <v>3</v>
      </c>
      <c r="O98" s="15">
        <v>3</v>
      </c>
      <c r="P98" s="15">
        <v>3</v>
      </c>
      <c r="Q98" s="21">
        <v>4</v>
      </c>
      <c r="R98" s="15">
        <f t="shared" si="4"/>
        <v>4</v>
      </c>
      <c r="S98" s="15">
        <f t="shared" si="5"/>
        <v>2.6666666666666665</v>
      </c>
      <c r="T98" s="15">
        <f t="shared" si="6"/>
        <v>2</v>
      </c>
      <c r="U98" s="15">
        <f t="shared" si="7"/>
        <v>3.3333333333333335</v>
      </c>
    </row>
    <row r="99" spans="1:21" ht="54" x14ac:dyDescent="0.3">
      <c r="A99" s="15">
        <v>13187</v>
      </c>
      <c r="B99" s="15">
        <v>12565</v>
      </c>
      <c r="C99" s="15">
        <v>1</v>
      </c>
      <c r="D99" s="15" t="s">
        <v>4</v>
      </c>
      <c r="E99" s="20" t="s">
        <v>112</v>
      </c>
      <c r="F99" s="15">
        <v>4</v>
      </c>
      <c r="G99" s="15">
        <v>3</v>
      </c>
      <c r="H99" s="21">
        <v>4</v>
      </c>
      <c r="I99" s="15">
        <v>3</v>
      </c>
      <c r="J99" s="15">
        <v>3</v>
      </c>
      <c r="K99" s="21">
        <v>3</v>
      </c>
      <c r="L99" s="15">
        <v>2</v>
      </c>
      <c r="M99" s="15">
        <v>1</v>
      </c>
      <c r="N99" s="21">
        <v>3</v>
      </c>
      <c r="O99" s="15">
        <v>3</v>
      </c>
      <c r="P99" s="15">
        <v>3</v>
      </c>
      <c r="Q99" s="21">
        <v>4</v>
      </c>
      <c r="R99" s="15">
        <f t="shared" si="4"/>
        <v>3.6666666666666665</v>
      </c>
      <c r="S99" s="15">
        <f t="shared" si="5"/>
        <v>3</v>
      </c>
      <c r="T99" s="15">
        <f t="shared" si="6"/>
        <v>2</v>
      </c>
      <c r="U99" s="15">
        <f t="shared" si="7"/>
        <v>3.3333333333333335</v>
      </c>
    </row>
    <row r="100" spans="1:21" ht="54" x14ac:dyDescent="0.3">
      <c r="A100" s="15">
        <v>16309</v>
      </c>
      <c r="B100" s="15">
        <v>13168</v>
      </c>
      <c r="C100" s="15">
        <v>1</v>
      </c>
      <c r="D100" s="15" t="s">
        <v>11</v>
      </c>
      <c r="E100" s="20" t="s">
        <v>113</v>
      </c>
      <c r="F100" s="15">
        <v>4</v>
      </c>
      <c r="G100" s="15">
        <v>3</v>
      </c>
      <c r="H100" s="21">
        <v>3</v>
      </c>
      <c r="I100" s="15">
        <v>3</v>
      </c>
      <c r="J100" s="15">
        <v>3</v>
      </c>
      <c r="K100" s="21">
        <v>3</v>
      </c>
      <c r="L100" s="15">
        <v>2</v>
      </c>
      <c r="M100" s="15">
        <v>1</v>
      </c>
      <c r="N100" s="21">
        <v>3</v>
      </c>
      <c r="O100" s="15">
        <v>3</v>
      </c>
      <c r="P100" s="15">
        <v>3</v>
      </c>
      <c r="Q100" s="21">
        <v>3</v>
      </c>
      <c r="R100" s="15">
        <f t="shared" si="4"/>
        <v>3.3333333333333335</v>
      </c>
      <c r="S100" s="15">
        <f t="shared" si="5"/>
        <v>3</v>
      </c>
      <c r="T100" s="15">
        <f t="shared" si="6"/>
        <v>2</v>
      </c>
      <c r="U100" s="15">
        <f t="shared" si="7"/>
        <v>3</v>
      </c>
    </row>
    <row r="101" spans="1:21" ht="27" x14ac:dyDescent="0.3">
      <c r="A101" s="15">
        <v>16645</v>
      </c>
      <c r="B101" s="15">
        <v>11508</v>
      </c>
      <c r="C101" s="15">
        <v>1</v>
      </c>
      <c r="D101" s="15" t="s">
        <v>4</v>
      </c>
      <c r="E101" s="20" t="s">
        <v>114</v>
      </c>
      <c r="F101" s="15">
        <v>3</v>
      </c>
      <c r="G101" s="15">
        <v>2</v>
      </c>
      <c r="H101" s="21">
        <v>4</v>
      </c>
      <c r="I101" s="15">
        <v>3</v>
      </c>
      <c r="J101" s="15">
        <v>3</v>
      </c>
      <c r="K101" s="21">
        <v>3</v>
      </c>
      <c r="L101" s="15">
        <v>2</v>
      </c>
      <c r="M101" s="15">
        <v>1</v>
      </c>
      <c r="N101" s="21">
        <v>5</v>
      </c>
      <c r="O101" s="15">
        <v>3</v>
      </c>
      <c r="P101" s="15">
        <v>2</v>
      </c>
      <c r="Q101" s="21">
        <v>3</v>
      </c>
      <c r="R101" s="15">
        <f t="shared" si="4"/>
        <v>3</v>
      </c>
      <c r="S101" s="15">
        <f t="shared" si="5"/>
        <v>3</v>
      </c>
      <c r="T101" s="15">
        <f t="shared" si="6"/>
        <v>2.6666666666666665</v>
      </c>
      <c r="U101" s="15">
        <f t="shared" si="7"/>
        <v>2.6666666666666665</v>
      </c>
    </row>
    <row r="102" spans="1:21" ht="67.5" x14ac:dyDescent="0.3">
      <c r="A102" s="15">
        <v>3847</v>
      </c>
      <c r="B102" s="15">
        <v>12687</v>
      </c>
      <c r="C102" s="15">
        <v>1</v>
      </c>
      <c r="D102" s="15" t="s">
        <v>50</v>
      </c>
      <c r="E102" s="20" t="s">
        <v>115</v>
      </c>
      <c r="F102" s="15">
        <v>4</v>
      </c>
      <c r="G102" s="15">
        <v>3</v>
      </c>
      <c r="H102" s="21">
        <v>4</v>
      </c>
      <c r="I102" s="15">
        <v>3</v>
      </c>
      <c r="J102" s="15">
        <v>3</v>
      </c>
      <c r="K102" s="21">
        <v>4</v>
      </c>
      <c r="L102" s="15">
        <v>2</v>
      </c>
      <c r="M102" s="15">
        <v>1</v>
      </c>
      <c r="N102" s="21">
        <v>3</v>
      </c>
      <c r="O102" s="15">
        <v>4</v>
      </c>
      <c r="P102" s="15">
        <v>3</v>
      </c>
      <c r="Q102" s="21">
        <v>4</v>
      </c>
      <c r="R102" s="15">
        <f t="shared" si="4"/>
        <v>3.6666666666666665</v>
      </c>
      <c r="S102" s="15">
        <f t="shared" si="5"/>
        <v>3.3333333333333335</v>
      </c>
      <c r="T102" s="15">
        <f t="shared" si="6"/>
        <v>2</v>
      </c>
      <c r="U102" s="15">
        <f t="shared" si="7"/>
        <v>3.6666666666666665</v>
      </c>
    </row>
    <row r="103" spans="1:21" ht="27" x14ac:dyDescent="0.3">
      <c r="A103" s="15">
        <v>16536</v>
      </c>
      <c r="B103" s="15">
        <v>12026</v>
      </c>
      <c r="C103" s="15">
        <v>1</v>
      </c>
      <c r="D103" s="15" t="s">
        <v>13</v>
      </c>
      <c r="E103" s="20" t="s">
        <v>116</v>
      </c>
      <c r="F103" s="15">
        <v>3</v>
      </c>
      <c r="G103" s="15">
        <v>3</v>
      </c>
      <c r="H103" s="21">
        <v>3</v>
      </c>
      <c r="I103" s="15">
        <v>3</v>
      </c>
      <c r="J103" s="15">
        <v>3</v>
      </c>
      <c r="K103" s="21">
        <v>3</v>
      </c>
      <c r="L103" s="15">
        <v>2</v>
      </c>
      <c r="M103" s="15">
        <v>1</v>
      </c>
      <c r="N103" s="21">
        <v>3</v>
      </c>
      <c r="O103" s="15">
        <v>3</v>
      </c>
      <c r="P103" s="15">
        <v>3</v>
      </c>
      <c r="Q103" s="21">
        <v>4</v>
      </c>
      <c r="R103" s="15">
        <f t="shared" si="4"/>
        <v>3</v>
      </c>
      <c r="S103" s="15">
        <f t="shared" si="5"/>
        <v>3</v>
      </c>
      <c r="T103" s="15">
        <f t="shared" si="6"/>
        <v>2</v>
      </c>
      <c r="U103" s="15">
        <f t="shared" si="7"/>
        <v>3.3333333333333335</v>
      </c>
    </row>
    <row r="104" spans="1:21" ht="40.5" x14ac:dyDescent="0.3">
      <c r="A104" s="15">
        <v>3508</v>
      </c>
      <c r="B104" s="15">
        <v>12295</v>
      </c>
      <c r="C104" s="15">
        <v>1</v>
      </c>
      <c r="D104" s="15" t="s">
        <v>4</v>
      </c>
      <c r="E104" s="20" t="s">
        <v>117</v>
      </c>
      <c r="F104" s="15">
        <v>3</v>
      </c>
      <c r="G104" s="15">
        <v>4</v>
      </c>
      <c r="H104" s="21">
        <v>4</v>
      </c>
      <c r="I104" s="15">
        <v>3</v>
      </c>
      <c r="J104" s="15">
        <v>3</v>
      </c>
      <c r="K104" s="21">
        <v>3</v>
      </c>
      <c r="L104" s="15">
        <v>2</v>
      </c>
      <c r="M104" s="15">
        <v>1</v>
      </c>
      <c r="N104" s="21">
        <v>3</v>
      </c>
      <c r="O104" s="15">
        <v>3</v>
      </c>
      <c r="P104" s="15">
        <v>4</v>
      </c>
      <c r="Q104" s="21">
        <v>4</v>
      </c>
      <c r="R104" s="15">
        <f t="shared" si="4"/>
        <v>3.6666666666666665</v>
      </c>
      <c r="S104" s="15">
        <f t="shared" si="5"/>
        <v>3</v>
      </c>
      <c r="T104" s="15">
        <f t="shared" si="6"/>
        <v>2</v>
      </c>
      <c r="U104" s="15">
        <f t="shared" si="7"/>
        <v>3.6666666666666665</v>
      </c>
    </row>
    <row r="105" spans="1:21" ht="108" x14ac:dyDescent="0.3">
      <c r="A105" s="15">
        <v>474</v>
      </c>
      <c r="B105" s="15">
        <v>14673</v>
      </c>
      <c r="C105" s="15">
        <v>1</v>
      </c>
      <c r="D105" s="15" t="s">
        <v>4</v>
      </c>
      <c r="E105" s="20" t="s">
        <v>118</v>
      </c>
      <c r="F105" s="15">
        <v>4</v>
      </c>
      <c r="G105" s="15">
        <v>4</v>
      </c>
      <c r="H105" s="21">
        <v>4</v>
      </c>
      <c r="I105" s="15">
        <v>4</v>
      </c>
      <c r="J105" s="15">
        <v>3</v>
      </c>
      <c r="K105" s="21">
        <v>5</v>
      </c>
      <c r="L105" s="15">
        <v>3</v>
      </c>
      <c r="M105" s="15">
        <v>1</v>
      </c>
      <c r="N105" s="21">
        <v>3</v>
      </c>
      <c r="O105" s="15">
        <v>4</v>
      </c>
      <c r="P105" s="15">
        <v>4</v>
      </c>
      <c r="Q105" s="21">
        <v>4</v>
      </c>
      <c r="R105" s="15">
        <f t="shared" si="4"/>
        <v>4</v>
      </c>
      <c r="S105" s="15">
        <f t="shared" si="5"/>
        <v>4</v>
      </c>
      <c r="T105" s="15">
        <f t="shared" si="6"/>
        <v>2.3333333333333335</v>
      </c>
      <c r="U105" s="15">
        <f t="shared" si="7"/>
        <v>4</v>
      </c>
    </row>
    <row r="106" spans="1:21" ht="40.5" x14ac:dyDescent="0.3">
      <c r="A106" s="15">
        <v>15688</v>
      </c>
      <c r="B106" s="15">
        <v>12613</v>
      </c>
      <c r="C106" s="15">
        <v>1</v>
      </c>
      <c r="D106" s="15" t="s">
        <v>50</v>
      </c>
      <c r="E106" s="20" t="s">
        <v>119</v>
      </c>
      <c r="F106" s="15">
        <v>3</v>
      </c>
      <c r="G106" s="15">
        <v>3</v>
      </c>
      <c r="H106" s="21">
        <v>3</v>
      </c>
      <c r="I106" s="15">
        <v>3</v>
      </c>
      <c r="J106" s="15">
        <v>1</v>
      </c>
      <c r="K106" s="21">
        <v>3</v>
      </c>
      <c r="L106" s="15">
        <v>2</v>
      </c>
      <c r="M106" s="15">
        <v>1</v>
      </c>
      <c r="N106" s="21">
        <v>3</v>
      </c>
      <c r="O106" s="15">
        <v>3</v>
      </c>
      <c r="P106" s="15">
        <v>3</v>
      </c>
      <c r="Q106" s="21">
        <v>3</v>
      </c>
      <c r="R106" s="15">
        <f t="shared" si="4"/>
        <v>3</v>
      </c>
      <c r="S106" s="15">
        <f t="shared" si="5"/>
        <v>2.3333333333333335</v>
      </c>
      <c r="T106" s="15">
        <f t="shared" si="6"/>
        <v>2</v>
      </c>
      <c r="U106" s="15">
        <f t="shared" si="7"/>
        <v>3</v>
      </c>
    </row>
    <row r="107" spans="1:21" ht="54" x14ac:dyDescent="0.3">
      <c r="A107" s="15">
        <v>9256</v>
      </c>
      <c r="B107" s="15">
        <v>11163</v>
      </c>
      <c r="C107" s="15">
        <v>1</v>
      </c>
      <c r="D107" s="15" t="s">
        <v>4</v>
      </c>
      <c r="E107" s="20" t="s">
        <v>120</v>
      </c>
      <c r="F107" s="15">
        <v>3</v>
      </c>
      <c r="G107" s="15">
        <v>3</v>
      </c>
      <c r="H107" s="21">
        <v>3</v>
      </c>
      <c r="I107" s="15">
        <v>4</v>
      </c>
      <c r="J107" s="15">
        <v>3</v>
      </c>
      <c r="K107" s="21">
        <v>3</v>
      </c>
      <c r="L107" s="15">
        <v>2</v>
      </c>
      <c r="M107" s="15">
        <v>1</v>
      </c>
      <c r="N107" s="21">
        <v>3</v>
      </c>
      <c r="O107" s="15">
        <v>4</v>
      </c>
      <c r="P107" s="15">
        <v>3</v>
      </c>
      <c r="Q107" s="21">
        <v>3</v>
      </c>
      <c r="R107" s="15">
        <f t="shared" si="4"/>
        <v>3</v>
      </c>
      <c r="S107" s="15">
        <f t="shared" si="5"/>
        <v>3.3333333333333335</v>
      </c>
      <c r="T107" s="15">
        <f t="shared" si="6"/>
        <v>2</v>
      </c>
      <c r="U107" s="15">
        <f t="shared" si="7"/>
        <v>3.3333333333333335</v>
      </c>
    </row>
    <row r="108" spans="1:21" ht="40.5" x14ac:dyDescent="0.3">
      <c r="A108" s="15">
        <v>5340</v>
      </c>
      <c r="B108" s="15">
        <v>13384</v>
      </c>
      <c r="C108" s="15">
        <v>1</v>
      </c>
      <c r="D108" s="15" t="s">
        <v>11</v>
      </c>
      <c r="E108" s="20" t="s">
        <v>121</v>
      </c>
      <c r="F108" s="15">
        <v>3</v>
      </c>
      <c r="G108" s="15">
        <v>3</v>
      </c>
      <c r="H108" s="21">
        <v>3</v>
      </c>
      <c r="I108" s="15">
        <v>3</v>
      </c>
      <c r="J108" s="15">
        <v>1</v>
      </c>
      <c r="K108" s="21">
        <v>3</v>
      </c>
      <c r="L108" s="15">
        <v>2</v>
      </c>
      <c r="M108" s="15">
        <v>1</v>
      </c>
      <c r="N108" s="21">
        <v>3</v>
      </c>
      <c r="O108" s="15">
        <v>4</v>
      </c>
      <c r="P108" s="15">
        <v>3</v>
      </c>
      <c r="Q108" s="21">
        <v>3</v>
      </c>
      <c r="R108" s="15">
        <f t="shared" si="4"/>
        <v>3</v>
      </c>
      <c r="S108" s="15">
        <f t="shared" si="5"/>
        <v>2.3333333333333335</v>
      </c>
      <c r="T108" s="15">
        <f t="shared" si="6"/>
        <v>2</v>
      </c>
      <c r="U108" s="15">
        <f t="shared" si="7"/>
        <v>3.3333333333333335</v>
      </c>
    </row>
    <row r="109" spans="1:21" ht="54" x14ac:dyDescent="0.3">
      <c r="A109" s="15">
        <v>9559</v>
      </c>
      <c r="B109" s="15">
        <v>10219</v>
      </c>
      <c r="C109" s="15">
        <v>1</v>
      </c>
      <c r="D109" s="15" t="s">
        <v>36</v>
      </c>
      <c r="E109" s="20" t="s">
        <v>122</v>
      </c>
      <c r="F109" s="15">
        <v>4</v>
      </c>
      <c r="G109" s="15">
        <v>4</v>
      </c>
      <c r="H109" s="21">
        <v>3</v>
      </c>
      <c r="I109" s="15">
        <v>5</v>
      </c>
      <c r="J109" s="15">
        <v>1</v>
      </c>
      <c r="K109" s="21">
        <v>3</v>
      </c>
      <c r="L109" s="15">
        <v>2</v>
      </c>
      <c r="M109" s="15">
        <v>1</v>
      </c>
      <c r="N109" s="21">
        <v>3</v>
      </c>
      <c r="O109" s="15">
        <v>5</v>
      </c>
      <c r="P109" s="15">
        <v>3</v>
      </c>
      <c r="Q109" s="21">
        <v>3</v>
      </c>
      <c r="R109" s="15">
        <f t="shared" si="4"/>
        <v>3.6666666666666665</v>
      </c>
      <c r="S109" s="15">
        <f t="shared" si="5"/>
        <v>3</v>
      </c>
      <c r="T109" s="15">
        <f t="shared" si="6"/>
        <v>2</v>
      </c>
      <c r="U109" s="15">
        <f t="shared" si="7"/>
        <v>3.6666666666666665</v>
      </c>
    </row>
    <row r="110" spans="1:21" ht="67.5" x14ac:dyDescent="0.3">
      <c r="A110" s="15">
        <v>9689</v>
      </c>
      <c r="B110" s="15">
        <v>13669</v>
      </c>
      <c r="C110" s="15">
        <v>1</v>
      </c>
      <c r="D110" s="15" t="s">
        <v>11</v>
      </c>
      <c r="E110" s="20" t="s">
        <v>123</v>
      </c>
      <c r="F110" s="15">
        <v>3</v>
      </c>
      <c r="G110" s="15">
        <v>4</v>
      </c>
      <c r="H110" s="21">
        <v>4</v>
      </c>
      <c r="I110" s="15">
        <v>3</v>
      </c>
      <c r="J110" s="15">
        <v>3</v>
      </c>
      <c r="K110" s="21">
        <v>5</v>
      </c>
      <c r="L110" s="15">
        <v>2</v>
      </c>
      <c r="M110" s="15">
        <v>1</v>
      </c>
      <c r="N110" s="21">
        <v>3</v>
      </c>
      <c r="O110" s="15">
        <v>4</v>
      </c>
      <c r="P110" s="15">
        <v>4</v>
      </c>
      <c r="Q110" s="21">
        <v>4</v>
      </c>
      <c r="R110" s="15">
        <f t="shared" si="4"/>
        <v>3.6666666666666665</v>
      </c>
      <c r="S110" s="15">
        <f t="shared" si="5"/>
        <v>3.6666666666666665</v>
      </c>
      <c r="T110" s="15">
        <f t="shared" si="6"/>
        <v>2</v>
      </c>
      <c r="U110" s="15">
        <f t="shared" si="7"/>
        <v>4</v>
      </c>
    </row>
    <row r="111" spans="1:21" ht="67.5" x14ac:dyDescent="0.3">
      <c r="A111" s="15">
        <v>5512</v>
      </c>
      <c r="B111" s="15">
        <v>13201</v>
      </c>
      <c r="C111" s="15">
        <v>1</v>
      </c>
      <c r="D111" s="15" t="s">
        <v>11</v>
      </c>
      <c r="E111" s="20" t="s">
        <v>124</v>
      </c>
      <c r="F111" s="15">
        <v>4</v>
      </c>
      <c r="G111" s="15">
        <v>3</v>
      </c>
      <c r="H111" s="21">
        <v>3</v>
      </c>
      <c r="I111" s="15">
        <v>3</v>
      </c>
      <c r="J111" s="15">
        <v>3</v>
      </c>
      <c r="K111" s="21">
        <v>3</v>
      </c>
      <c r="L111" s="15">
        <v>2</v>
      </c>
      <c r="M111" s="15">
        <v>3</v>
      </c>
      <c r="N111" s="21">
        <v>3</v>
      </c>
      <c r="O111" s="15">
        <v>3</v>
      </c>
      <c r="P111" s="15">
        <v>3</v>
      </c>
      <c r="Q111" s="21">
        <v>3</v>
      </c>
      <c r="R111" s="15">
        <f t="shared" si="4"/>
        <v>3.3333333333333335</v>
      </c>
      <c r="S111" s="15">
        <f t="shared" si="5"/>
        <v>3</v>
      </c>
      <c r="T111" s="15">
        <f t="shared" si="6"/>
        <v>2.6666666666666665</v>
      </c>
      <c r="U111" s="15">
        <f t="shared" si="7"/>
        <v>3</v>
      </c>
    </row>
    <row r="112" spans="1:21" ht="40.5" x14ac:dyDescent="0.3">
      <c r="A112" s="15">
        <v>960</v>
      </c>
      <c r="B112" s="15">
        <v>14873</v>
      </c>
      <c r="C112" s="15">
        <v>1</v>
      </c>
      <c r="D112" s="15" t="s">
        <v>4</v>
      </c>
      <c r="E112" s="20" t="s">
        <v>125</v>
      </c>
      <c r="F112" s="15">
        <v>3</v>
      </c>
      <c r="G112" s="15">
        <v>3</v>
      </c>
      <c r="H112" s="21">
        <v>3</v>
      </c>
      <c r="I112" s="15">
        <v>3</v>
      </c>
      <c r="J112" s="15">
        <v>3</v>
      </c>
      <c r="K112" s="21">
        <v>3</v>
      </c>
      <c r="L112" s="15">
        <v>2</v>
      </c>
      <c r="M112" s="15">
        <v>1</v>
      </c>
      <c r="N112" s="21">
        <v>3</v>
      </c>
      <c r="O112" s="15">
        <v>3</v>
      </c>
      <c r="P112" s="15">
        <v>3</v>
      </c>
      <c r="Q112" s="21">
        <v>3</v>
      </c>
      <c r="R112" s="15">
        <f t="shared" si="4"/>
        <v>3</v>
      </c>
      <c r="S112" s="15">
        <f t="shared" si="5"/>
        <v>3</v>
      </c>
      <c r="T112" s="15">
        <f t="shared" si="6"/>
        <v>2</v>
      </c>
      <c r="U112" s="15">
        <f t="shared" si="7"/>
        <v>3</v>
      </c>
    </row>
    <row r="113" spans="1:21" ht="81" x14ac:dyDescent="0.3">
      <c r="A113" s="15">
        <v>15370</v>
      </c>
      <c r="B113" s="15">
        <v>14579</v>
      </c>
      <c r="C113" s="15">
        <v>1</v>
      </c>
      <c r="D113" s="15" t="s">
        <v>4</v>
      </c>
      <c r="E113" s="20" t="s">
        <v>126</v>
      </c>
      <c r="F113" s="15">
        <v>4</v>
      </c>
      <c r="G113" s="15">
        <v>4</v>
      </c>
      <c r="H113" s="21">
        <v>3</v>
      </c>
      <c r="I113" s="15">
        <v>3</v>
      </c>
      <c r="J113" s="15">
        <v>3</v>
      </c>
      <c r="K113" s="21">
        <v>3</v>
      </c>
      <c r="L113" s="15">
        <v>2</v>
      </c>
      <c r="M113" s="15">
        <v>1</v>
      </c>
      <c r="N113" s="21">
        <v>3</v>
      </c>
      <c r="O113" s="15">
        <v>4</v>
      </c>
      <c r="P113" s="15">
        <v>3</v>
      </c>
      <c r="Q113" s="21">
        <v>3</v>
      </c>
      <c r="R113" s="15">
        <f t="shared" si="4"/>
        <v>3.6666666666666665</v>
      </c>
      <c r="S113" s="15">
        <f t="shared" si="5"/>
        <v>3</v>
      </c>
      <c r="T113" s="15">
        <f t="shared" si="6"/>
        <v>2</v>
      </c>
      <c r="U113" s="15">
        <f t="shared" si="7"/>
        <v>3.3333333333333335</v>
      </c>
    </row>
    <row r="114" spans="1:21" ht="40.5" x14ac:dyDescent="0.3">
      <c r="A114" s="15">
        <v>8005</v>
      </c>
      <c r="B114" s="15">
        <v>13792</v>
      </c>
      <c r="C114" s="15">
        <v>1</v>
      </c>
      <c r="D114" s="15" t="s">
        <v>11</v>
      </c>
      <c r="E114" s="20" t="s">
        <v>127</v>
      </c>
      <c r="F114" s="15">
        <v>3</v>
      </c>
      <c r="G114" s="15">
        <v>3</v>
      </c>
      <c r="H114" s="21">
        <v>4</v>
      </c>
      <c r="I114" s="15">
        <v>3</v>
      </c>
      <c r="J114" s="15">
        <v>1</v>
      </c>
      <c r="K114" s="21">
        <v>3</v>
      </c>
      <c r="L114" s="15">
        <v>2</v>
      </c>
      <c r="M114" s="15">
        <v>1</v>
      </c>
      <c r="N114" s="21">
        <v>3</v>
      </c>
      <c r="O114" s="15">
        <v>3</v>
      </c>
      <c r="P114" s="15">
        <v>3</v>
      </c>
      <c r="Q114" s="21">
        <v>4</v>
      </c>
      <c r="R114" s="15">
        <f t="shared" si="4"/>
        <v>3.3333333333333335</v>
      </c>
      <c r="S114" s="15">
        <f t="shared" si="5"/>
        <v>2.3333333333333335</v>
      </c>
      <c r="T114" s="15">
        <f t="shared" si="6"/>
        <v>2</v>
      </c>
      <c r="U114" s="15">
        <f t="shared" si="7"/>
        <v>3.3333333333333335</v>
      </c>
    </row>
    <row r="115" spans="1:21" ht="27" x14ac:dyDescent="0.3">
      <c r="A115" s="15">
        <v>9662</v>
      </c>
      <c r="B115" s="15">
        <v>10318</v>
      </c>
      <c r="C115" s="15">
        <v>1</v>
      </c>
      <c r="D115" s="15" t="s">
        <v>4</v>
      </c>
      <c r="E115" s="20" t="s">
        <v>128</v>
      </c>
      <c r="F115" s="15">
        <v>3</v>
      </c>
      <c r="G115" s="15">
        <v>2</v>
      </c>
      <c r="H115" s="21">
        <v>3</v>
      </c>
      <c r="I115" s="15">
        <v>2</v>
      </c>
      <c r="J115" s="15">
        <v>3</v>
      </c>
      <c r="K115" s="21">
        <v>3</v>
      </c>
      <c r="L115" s="15">
        <v>2</v>
      </c>
      <c r="M115" s="15">
        <v>1</v>
      </c>
      <c r="N115" s="21">
        <v>1</v>
      </c>
      <c r="O115" s="15">
        <v>4</v>
      </c>
      <c r="P115" s="15">
        <v>3</v>
      </c>
      <c r="Q115" s="21">
        <v>3</v>
      </c>
      <c r="R115" s="15">
        <f t="shared" si="4"/>
        <v>2.6666666666666665</v>
      </c>
      <c r="S115" s="15">
        <f t="shared" si="5"/>
        <v>2.6666666666666665</v>
      </c>
      <c r="T115" s="15">
        <f t="shared" si="6"/>
        <v>1.3333333333333333</v>
      </c>
      <c r="U115" s="15">
        <f t="shared" si="7"/>
        <v>3.3333333333333335</v>
      </c>
    </row>
    <row r="116" spans="1:21" ht="54" x14ac:dyDescent="0.3">
      <c r="A116" s="15">
        <v>93</v>
      </c>
      <c r="B116" s="15">
        <v>13912</v>
      </c>
      <c r="C116" s="15">
        <v>1</v>
      </c>
      <c r="D116" s="15" t="s">
        <v>11</v>
      </c>
      <c r="E116" s="20" t="s">
        <v>129</v>
      </c>
      <c r="F116" s="15">
        <v>4</v>
      </c>
      <c r="G116" s="15">
        <v>3</v>
      </c>
      <c r="H116" s="21">
        <v>3</v>
      </c>
      <c r="I116" s="15">
        <v>3</v>
      </c>
      <c r="J116" s="15">
        <v>3</v>
      </c>
      <c r="K116" s="21">
        <v>3</v>
      </c>
      <c r="L116" s="15">
        <v>2</v>
      </c>
      <c r="M116" s="15">
        <v>1</v>
      </c>
      <c r="N116" s="21">
        <v>3</v>
      </c>
      <c r="O116" s="15">
        <v>3</v>
      </c>
      <c r="P116" s="15">
        <v>3</v>
      </c>
      <c r="Q116" s="21">
        <v>3</v>
      </c>
      <c r="R116" s="15">
        <f t="shared" si="4"/>
        <v>3.3333333333333335</v>
      </c>
      <c r="S116" s="15">
        <f t="shared" si="5"/>
        <v>3</v>
      </c>
      <c r="T116" s="15">
        <f t="shared" si="6"/>
        <v>2</v>
      </c>
      <c r="U116" s="15">
        <f t="shared" si="7"/>
        <v>3</v>
      </c>
    </row>
    <row r="117" spans="1:21" ht="40.5" x14ac:dyDescent="0.3">
      <c r="A117" s="15">
        <v>213</v>
      </c>
      <c r="B117" s="15">
        <v>13762</v>
      </c>
      <c r="C117" s="15">
        <v>1</v>
      </c>
      <c r="D117" s="15" t="s">
        <v>11</v>
      </c>
      <c r="E117" s="20" t="s">
        <v>130</v>
      </c>
      <c r="F117" s="15">
        <v>3</v>
      </c>
      <c r="G117" s="15">
        <v>3</v>
      </c>
      <c r="H117" s="21">
        <v>3</v>
      </c>
      <c r="I117" s="15">
        <v>3</v>
      </c>
      <c r="J117" s="15">
        <v>3</v>
      </c>
      <c r="K117" s="21">
        <v>3</v>
      </c>
      <c r="L117" s="15">
        <v>2</v>
      </c>
      <c r="M117" s="15">
        <v>1</v>
      </c>
      <c r="N117" s="21">
        <v>3</v>
      </c>
      <c r="O117" s="15">
        <v>4</v>
      </c>
      <c r="P117" s="15">
        <v>3</v>
      </c>
      <c r="Q117" s="21">
        <v>3</v>
      </c>
      <c r="R117" s="15">
        <f t="shared" si="4"/>
        <v>3</v>
      </c>
      <c r="S117" s="15">
        <f t="shared" si="5"/>
        <v>3</v>
      </c>
      <c r="T117" s="15">
        <f t="shared" si="6"/>
        <v>2</v>
      </c>
      <c r="U117" s="15">
        <f t="shared" si="7"/>
        <v>3.3333333333333335</v>
      </c>
    </row>
    <row r="118" spans="1:21" ht="27" x14ac:dyDescent="0.3">
      <c r="A118" s="15">
        <v>10399</v>
      </c>
      <c r="B118" s="15">
        <v>12311</v>
      </c>
      <c r="C118" s="15">
        <v>1</v>
      </c>
      <c r="D118" s="15" t="s">
        <v>4</v>
      </c>
      <c r="E118" s="20" t="s">
        <v>131</v>
      </c>
      <c r="F118" s="15">
        <v>3</v>
      </c>
      <c r="G118" s="15">
        <v>3</v>
      </c>
      <c r="H118" s="21">
        <v>3</v>
      </c>
      <c r="I118" s="15">
        <v>3</v>
      </c>
      <c r="J118" s="15">
        <v>3</v>
      </c>
      <c r="K118" s="21">
        <v>3</v>
      </c>
      <c r="L118" s="15">
        <v>2</v>
      </c>
      <c r="M118" s="15">
        <v>3</v>
      </c>
      <c r="N118" s="21">
        <v>3</v>
      </c>
      <c r="O118" s="15">
        <v>3</v>
      </c>
      <c r="P118" s="15">
        <v>3</v>
      </c>
      <c r="Q118" s="21">
        <v>3</v>
      </c>
      <c r="R118" s="15">
        <f t="shared" si="4"/>
        <v>3</v>
      </c>
      <c r="S118" s="15">
        <f t="shared" si="5"/>
        <v>3</v>
      </c>
      <c r="T118" s="15">
        <f t="shared" si="6"/>
        <v>2.6666666666666665</v>
      </c>
      <c r="U118" s="15">
        <f t="shared" si="7"/>
        <v>3</v>
      </c>
    </row>
    <row r="119" spans="1:21" ht="40.5" x14ac:dyDescent="0.3">
      <c r="A119" s="15">
        <v>10055</v>
      </c>
      <c r="B119" s="15">
        <v>11638</v>
      </c>
      <c r="C119" s="15">
        <v>1</v>
      </c>
      <c r="D119" s="15" t="s">
        <v>4</v>
      </c>
      <c r="E119" s="20" t="s">
        <v>132</v>
      </c>
      <c r="F119" s="15">
        <v>3</v>
      </c>
      <c r="G119" s="15">
        <v>4</v>
      </c>
      <c r="H119" s="21">
        <v>3</v>
      </c>
      <c r="I119" s="15">
        <v>3</v>
      </c>
      <c r="J119" s="15">
        <v>1</v>
      </c>
      <c r="K119" s="21">
        <v>3</v>
      </c>
      <c r="L119" s="15">
        <v>3</v>
      </c>
      <c r="M119" s="15">
        <v>1</v>
      </c>
      <c r="N119" s="21">
        <v>2</v>
      </c>
      <c r="O119" s="15">
        <v>4</v>
      </c>
      <c r="P119" s="15">
        <v>3</v>
      </c>
      <c r="Q119" s="21">
        <v>3</v>
      </c>
      <c r="R119" s="15">
        <f t="shared" si="4"/>
        <v>3.3333333333333335</v>
      </c>
      <c r="S119" s="15">
        <f t="shared" si="5"/>
        <v>2.3333333333333335</v>
      </c>
      <c r="T119" s="15">
        <f t="shared" si="6"/>
        <v>2</v>
      </c>
      <c r="U119" s="15">
        <f t="shared" si="7"/>
        <v>3.3333333333333335</v>
      </c>
    </row>
    <row r="120" spans="1:21" ht="54" x14ac:dyDescent="0.3">
      <c r="A120" s="15">
        <v>1685</v>
      </c>
      <c r="B120" s="15">
        <v>13003</v>
      </c>
      <c r="C120" s="15">
        <v>1</v>
      </c>
      <c r="D120" s="15" t="s">
        <v>4</v>
      </c>
      <c r="E120" s="20" t="s">
        <v>133</v>
      </c>
      <c r="F120" s="15">
        <v>4</v>
      </c>
      <c r="G120" s="15">
        <v>3</v>
      </c>
      <c r="H120" s="21">
        <v>3</v>
      </c>
      <c r="I120" s="15">
        <v>3</v>
      </c>
      <c r="J120" s="15">
        <v>3</v>
      </c>
      <c r="K120" s="21">
        <v>3</v>
      </c>
      <c r="L120" s="15">
        <v>2</v>
      </c>
      <c r="M120" s="15">
        <v>1</v>
      </c>
      <c r="N120" s="21">
        <v>1</v>
      </c>
      <c r="O120" s="15">
        <v>3</v>
      </c>
      <c r="P120" s="15">
        <v>3</v>
      </c>
      <c r="Q120" s="21">
        <v>3</v>
      </c>
      <c r="R120" s="15">
        <f t="shared" si="4"/>
        <v>3.3333333333333335</v>
      </c>
      <c r="S120" s="15">
        <f t="shared" si="5"/>
        <v>3</v>
      </c>
      <c r="T120" s="15">
        <f t="shared" si="6"/>
        <v>1.3333333333333333</v>
      </c>
      <c r="U120" s="15">
        <f t="shared" si="7"/>
        <v>3</v>
      </c>
    </row>
    <row r="121" spans="1:21" ht="27" x14ac:dyDescent="0.3">
      <c r="A121" s="15">
        <v>8540</v>
      </c>
      <c r="B121" s="15">
        <v>10267</v>
      </c>
      <c r="C121" s="15">
        <v>1</v>
      </c>
      <c r="D121" s="15" t="s">
        <v>4</v>
      </c>
      <c r="E121" s="20" t="s">
        <v>134</v>
      </c>
      <c r="F121" s="15">
        <v>3</v>
      </c>
      <c r="G121" s="15">
        <v>2</v>
      </c>
      <c r="H121" s="21">
        <v>3</v>
      </c>
      <c r="I121" s="15">
        <v>3</v>
      </c>
      <c r="J121" s="15">
        <v>3</v>
      </c>
      <c r="K121" s="21">
        <v>3</v>
      </c>
      <c r="L121" s="15">
        <v>3</v>
      </c>
      <c r="M121" s="15">
        <v>1</v>
      </c>
      <c r="N121" s="21">
        <v>2</v>
      </c>
      <c r="O121" s="15">
        <v>4</v>
      </c>
      <c r="P121" s="15">
        <v>2</v>
      </c>
      <c r="Q121" s="21">
        <v>3</v>
      </c>
      <c r="R121" s="15">
        <f t="shared" si="4"/>
        <v>2.6666666666666665</v>
      </c>
      <c r="S121" s="15">
        <f t="shared" si="5"/>
        <v>3</v>
      </c>
      <c r="T121" s="15">
        <f t="shared" si="6"/>
        <v>2</v>
      </c>
      <c r="U121" s="15">
        <f t="shared" si="7"/>
        <v>3</v>
      </c>
    </row>
    <row r="122" spans="1:21" ht="40.5" x14ac:dyDescent="0.3">
      <c r="A122" s="15">
        <v>16737</v>
      </c>
      <c r="B122" s="15">
        <v>11909</v>
      </c>
      <c r="C122" s="15">
        <v>1</v>
      </c>
      <c r="D122" s="15" t="s">
        <v>40</v>
      </c>
      <c r="E122" s="20" t="s">
        <v>135</v>
      </c>
      <c r="F122" s="15">
        <v>3</v>
      </c>
      <c r="G122" s="15">
        <v>3</v>
      </c>
      <c r="H122" s="21">
        <v>4</v>
      </c>
      <c r="I122" s="15">
        <v>3</v>
      </c>
      <c r="J122" s="15">
        <v>3</v>
      </c>
      <c r="K122" s="21">
        <v>3</v>
      </c>
      <c r="L122" s="15">
        <v>3</v>
      </c>
      <c r="M122" s="15">
        <v>3</v>
      </c>
      <c r="N122" s="21">
        <v>3</v>
      </c>
      <c r="O122" s="15">
        <v>4</v>
      </c>
      <c r="P122" s="15">
        <v>3</v>
      </c>
      <c r="Q122" s="21">
        <v>4</v>
      </c>
      <c r="R122" s="15">
        <f t="shared" si="4"/>
        <v>3.3333333333333335</v>
      </c>
      <c r="S122" s="15">
        <f t="shared" si="5"/>
        <v>3</v>
      </c>
      <c r="T122" s="15">
        <f t="shared" si="6"/>
        <v>3</v>
      </c>
      <c r="U122" s="15">
        <f t="shared" si="7"/>
        <v>3.6666666666666665</v>
      </c>
    </row>
    <row r="123" spans="1:21" ht="40.5" x14ac:dyDescent="0.3">
      <c r="A123" s="15">
        <v>4901</v>
      </c>
      <c r="B123" s="15">
        <v>14269</v>
      </c>
      <c r="C123" s="15">
        <v>1</v>
      </c>
      <c r="D123" s="15" t="s">
        <v>4</v>
      </c>
      <c r="E123" s="20" t="s">
        <v>136</v>
      </c>
      <c r="F123" s="15">
        <v>4</v>
      </c>
      <c r="G123" s="15">
        <v>4</v>
      </c>
      <c r="H123" s="21">
        <v>3</v>
      </c>
      <c r="I123" s="15">
        <v>3</v>
      </c>
      <c r="J123" s="15">
        <v>1</v>
      </c>
      <c r="K123" s="21">
        <v>3</v>
      </c>
      <c r="L123" s="15">
        <v>2</v>
      </c>
      <c r="M123" s="15">
        <v>1</v>
      </c>
      <c r="N123" s="21">
        <v>3</v>
      </c>
      <c r="O123" s="15">
        <v>3</v>
      </c>
      <c r="P123" s="15">
        <v>3</v>
      </c>
      <c r="Q123" s="21">
        <v>4</v>
      </c>
      <c r="R123" s="15">
        <f t="shared" si="4"/>
        <v>3.6666666666666665</v>
      </c>
      <c r="S123" s="15">
        <f t="shared" si="5"/>
        <v>2.3333333333333335</v>
      </c>
      <c r="T123" s="15">
        <f t="shared" si="6"/>
        <v>2</v>
      </c>
      <c r="U123" s="15">
        <f t="shared" si="7"/>
        <v>3.3333333333333335</v>
      </c>
    </row>
    <row r="124" spans="1:21" ht="67.5" x14ac:dyDescent="0.3">
      <c r="A124" s="15">
        <v>11682</v>
      </c>
      <c r="B124" s="15">
        <v>11392</v>
      </c>
      <c r="C124" s="15">
        <v>1</v>
      </c>
      <c r="D124" s="15" t="s">
        <v>4</v>
      </c>
      <c r="E124" s="20" t="s">
        <v>137</v>
      </c>
      <c r="F124" s="15">
        <v>4</v>
      </c>
      <c r="G124" s="15">
        <v>4</v>
      </c>
      <c r="H124" s="21">
        <v>4</v>
      </c>
      <c r="I124" s="15">
        <v>4</v>
      </c>
      <c r="J124" s="15">
        <v>3</v>
      </c>
      <c r="K124" s="21">
        <v>5</v>
      </c>
      <c r="L124" s="15">
        <v>2</v>
      </c>
      <c r="M124" s="15">
        <v>1</v>
      </c>
      <c r="N124" s="21">
        <v>3</v>
      </c>
      <c r="O124" s="15">
        <v>4</v>
      </c>
      <c r="P124" s="15">
        <v>4</v>
      </c>
      <c r="Q124" s="21">
        <v>4</v>
      </c>
      <c r="R124" s="15">
        <f t="shared" si="4"/>
        <v>4</v>
      </c>
      <c r="S124" s="15">
        <f t="shared" si="5"/>
        <v>4</v>
      </c>
      <c r="T124" s="15">
        <f t="shared" si="6"/>
        <v>2</v>
      </c>
      <c r="U124" s="15">
        <f t="shared" si="7"/>
        <v>4</v>
      </c>
    </row>
    <row r="125" spans="1:21" ht="81" x14ac:dyDescent="0.3">
      <c r="A125" s="15">
        <v>12618</v>
      </c>
      <c r="B125" s="15">
        <v>12390</v>
      </c>
      <c r="C125" s="15">
        <v>1</v>
      </c>
      <c r="D125" s="15" t="s">
        <v>6</v>
      </c>
      <c r="E125" s="20" t="s">
        <v>138</v>
      </c>
      <c r="F125" s="15">
        <v>4</v>
      </c>
      <c r="G125" s="15">
        <v>3</v>
      </c>
      <c r="H125" s="21">
        <v>4</v>
      </c>
      <c r="I125" s="15">
        <v>4</v>
      </c>
      <c r="J125" s="15">
        <v>3</v>
      </c>
      <c r="K125" s="21">
        <v>5</v>
      </c>
      <c r="L125" s="15">
        <v>2</v>
      </c>
      <c r="M125" s="15">
        <v>1</v>
      </c>
      <c r="N125" s="21">
        <v>3</v>
      </c>
      <c r="O125" s="15">
        <v>4</v>
      </c>
      <c r="P125" s="15">
        <v>3</v>
      </c>
      <c r="Q125" s="21">
        <v>4</v>
      </c>
      <c r="R125" s="15">
        <f t="shared" si="4"/>
        <v>3.6666666666666665</v>
      </c>
      <c r="S125" s="15">
        <f t="shared" si="5"/>
        <v>4</v>
      </c>
      <c r="T125" s="15">
        <f t="shared" si="6"/>
        <v>2</v>
      </c>
      <c r="U125" s="15">
        <f t="shared" si="7"/>
        <v>3.6666666666666665</v>
      </c>
    </row>
    <row r="126" spans="1:21" ht="40.5" x14ac:dyDescent="0.3">
      <c r="A126" s="15">
        <v>6906</v>
      </c>
      <c r="B126" s="15">
        <v>14370</v>
      </c>
      <c r="C126" s="15">
        <v>1</v>
      </c>
      <c r="D126" s="15" t="s">
        <v>4</v>
      </c>
      <c r="E126" s="20" t="s">
        <v>139</v>
      </c>
      <c r="F126" s="15">
        <v>3</v>
      </c>
      <c r="G126" s="15">
        <v>2</v>
      </c>
      <c r="H126" s="21">
        <v>3</v>
      </c>
      <c r="I126" s="15">
        <v>3</v>
      </c>
      <c r="J126" s="15">
        <v>3</v>
      </c>
      <c r="K126" s="21">
        <v>3</v>
      </c>
      <c r="L126" s="15">
        <v>2</v>
      </c>
      <c r="M126" s="15">
        <v>1</v>
      </c>
      <c r="N126" s="21">
        <v>3</v>
      </c>
      <c r="O126" s="15">
        <v>4</v>
      </c>
      <c r="P126" s="15">
        <v>2</v>
      </c>
      <c r="Q126" s="21">
        <v>3</v>
      </c>
      <c r="R126" s="15">
        <f t="shared" si="4"/>
        <v>2.6666666666666665</v>
      </c>
      <c r="S126" s="15">
        <f t="shared" si="5"/>
        <v>3</v>
      </c>
      <c r="T126" s="15">
        <f t="shared" si="6"/>
        <v>2</v>
      </c>
      <c r="U126" s="15">
        <f t="shared" si="7"/>
        <v>3</v>
      </c>
    </row>
    <row r="127" spans="1:21" ht="27" x14ac:dyDescent="0.3">
      <c r="A127" s="15">
        <v>3111</v>
      </c>
      <c r="B127" s="15">
        <v>11427</v>
      </c>
      <c r="C127" s="15">
        <v>1</v>
      </c>
      <c r="D127" s="15" t="s">
        <v>4</v>
      </c>
      <c r="E127" s="20" t="s">
        <v>140</v>
      </c>
      <c r="F127" s="15">
        <v>3</v>
      </c>
      <c r="G127" s="15">
        <v>3</v>
      </c>
      <c r="H127" s="21">
        <v>3</v>
      </c>
      <c r="I127" s="15">
        <v>3</v>
      </c>
      <c r="J127" s="15">
        <v>3</v>
      </c>
      <c r="K127" s="21">
        <v>3</v>
      </c>
      <c r="L127" s="15">
        <v>2</v>
      </c>
      <c r="M127" s="15">
        <v>3</v>
      </c>
      <c r="N127" s="21">
        <v>1</v>
      </c>
      <c r="O127" s="15">
        <v>4</v>
      </c>
      <c r="P127" s="15">
        <v>3</v>
      </c>
      <c r="Q127" s="21">
        <v>3</v>
      </c>
      <c r="R127" s="15">
        <f t="shared" si="4"/>
        <v>3</v>
      </c>
      <c r="S127" s="15">
        <f t="shared" si="5"/>
        <v>3</v>
      </c>
      <c r="T127" s="15">
        <f t="shared" si="6"/>
        <v>2</v>
      </c>
      <c r="U127" s="15">
        <f t="shared" si="7"/>
        <v>3.3333333333333335</v>
      </c>
    </row>
    <row r="128" spans="1:21" ht="54" x14ac:dyDescent="0.3">
      <c r="A128" s="15">
        <v>13931</v>
      </c>
      <c r="B128" s="15">
        <v>11691</v>
      </c>
      <c r="C128" s="15">
        <v>1</v>
      </c>
      <c r="D128" s="15" t="s">
        <v>6</v>
      </c>
      <c r="E128" s="20" t="s">
        <v>141</v>
      </c>
      <c r="F128" s="15">
        <v>3</v>
      </c>
      <c r="G128" s="15">
        <v>4</v>
      </c>
      <c r="H128" s="21">
        <v>4</v>
      </c>
      <c r="I128" s="15">
        <v>3</v>
      </c>
      <c r="J128" s="15">
        <v>3</v>
      </c>
      <c r="K128" s="21">
        <v>3</v>
      </c>
      <c r="L128" s="15">
        <v>2</v>
      </c>
      <c r="M128" s="15">
        <v>1</v>
      </c>
      <c r="N128" s="21">
        <v>3</v>
      </c>
      <c r="O128" s="15">
        <v>3</v>
      </c>
      <c r="P128" s="15">
        <v>3</v>
      </c>
      <c r="Q128" s="21">
        <v>4</v>
      </c>
      <c r="R128" s="15">
        <f t="shared" si="4"/>
        <v>3.6666666666666665</v>
      </c>
      <c r="S128" s="15">
        <f t="shared" si="5"/>
        <v>3</v>
      </c>
      <c r="T128" s="15">
        <f t="shared" si="6"/>
        <v>2</v>
      </c>
      <c r="U128" s="15">
        <f t="shared" si="7"/>
        <v>3.3333333333333335</v>
      </c>
    </row>
    <row r="129" spans="1:21" ht="54" x14ac:dyDescent="0.3">
      <c r="A129" s="15">
        <v>1468</v>
      </c>
      <c r="B129" s="15">
        <v>13898</v>
      </c>
      <c r="C129" s="15">
        <v>1</v>
      </c>
      <c r="D129" s="15" t="s">
        <v>11</v>
      </c>
      <c r="E129" s="20" t="s">
        <v>142</v>
      </c>
      <c r="F129" s="15">
        <v>4</v>
      </c>
      <c r="G129" s="15">
        <v>4</v>
      </c>
      <c r="H129" s="21">
        <v>4</v>
      </c>
      <c r="I129" s="15">
        <v>4</v>
      </c>
      <c r="J129" s="15">
        <v>3</v>
      </c>
      <c r="K129" s="21">
        <v>3</v>
      </c>
      <c r="L129" s="15">
        <v>2</v>
      </c>
      <c r="M129" s="15">
        <v>1</v>
      </c>
      <c r="N129" s="21">
        <v>3</v>
      </c>
      <c r="O129" s="15">
        <v>3</v>
      </c>
      <c r="P129" s="15">
        <v>4</v>
      </c>
      <c r="Q129" s="21">
        <v>4</v>
      </c>
      <c r="R129" s="15">
        <f t="shared" si="4"/>
        <v>4</v>
      </c>
      <c r="S129" s="15">
        <f t="shared" si="5"/>
        <v>3.3333333333333335</v>
      </c>
      <c r="T129" s="15">
        <f t="shared" si="6"/>
        <v>2</v>
      </c>
      <c r="U129" s="15">
        <f t="shared" si="7"/>
        <v>3.6666666666666665</v>
      </c>
    </row>
    <row r="130" spans="1:21" ht="27" x14ac:dyDescent="0.3">
      <c r="A130" s="15">
        <v>11445</v>
      </c>
      <c r="B130" s="15">
        <v>11807</v>
      </c>
      <c r="C130" s="15">
        <v>1</v>
      </c>
      <c r="D130" s="15" t="s">
        <v>4</v>
      </c>
      <c r="E130" s="20" t="s">
        <v>143</v>
      </c>
      <c r="F130" s="15">
        <v>3</v>
      </c>
      <c r="G130" s="15">
        <v>3</v>
      </c>
      <c r="H130" s="21">
        <v>3</v>
      </c>
      <c r="I130" s="15">
        <v>4</v>
      </c>
      <c r="J130" s="15">
        <v>3</v>
      </c>
      <c r="K130" s="21">
        <v>3</v>
      </c>
      <c r="L130" s="15">
        <v>2</v>
      </c>
      <c r="M130" s="15">
        <v>3</v>
      </c>
      <c r="N130" s="21">
        <v>1</v>
      </c>
      <c r="O130" s="15">
        <v>3</v>
      </c>
      <c r="P130" s="15">
        <v>2</v>
      </c>
      <c r="Q130" s="21">
        <v>2</v>
      </c>
      <c r="R130" s="15">
        <f t="shared" si="4"/>
        <v>3</v>
      </c>
      <c r="S130" s="15">
        <f t="shared" si="5"/>
        <v>3.3333333333333335</v>
      </c>
      <c r="T130" s="15">
        <f t="shared" si="6"/>
        <v>2</v>
      </c>
      <c r="U130" s="15">
        <f t="shared" si="7"/>
        <v>2.3333333333333335</v>
      </c>
    </row>
    <row r="131" spans="1:21" ht="40.5" x14ac:dyDescent="0.3">
      <c r="A131" s="15">
        <v>2537</v>
      </c>
      <c r="B131" s="15">
        <v>12183</v>
      </c>
      <c r="C131" s="15">
        <v>1</v>
      </c>
      <c r="D131" s="15" t="s">
        <v>4</v>
      </c>
      <c r="E131" s="20" t="s">
        <v>144</v>
      </c>
      <c r="F131" s="15">
        <v>3</v>
      </c>
      <c r="G131" s="15">
        <v>3</v>
      </c>
      <c r="H131" s="21">
        <v>3</v>
      </c>
      <c r="I131" s="15">
        <v>3</v>
      </c>
      <c r="J131" s="15">
        <v>3</v>
      </c>
      <c r="K131" s="21">
        <v>3</v>
      </c>
      <c r="L131" s="15">
        <v>2</v>
      </c>
      <c r="M131" s="15">
        <v>1</v>
      </c>
      <c r="N131" s="21">
        <v>3</v>
      </c>
      <c r="O131" s="15">
        <v>4</v>
      </c>
      <c r="P131" s="15">
        <v>2</v>
      </c>
      <c r="Q131" s="21">
        <v>3</v>
      </c>
      <c r="R131" s="15">
        <f t="shared" ref="R131:R194" si="8">AVERAGE(F131:H131)</f>
        <v>3</v>
      </c>
      <c r="S131" s="15">
        <f t="shared" ref="S131:S194" si="9">AVERAGE(I131:K131)</f>
        <v>3</v>
      </c>
      <c r="T131" s="15">
        <f t="shared" ref="T131:T194" si="10">AVERAGE(L131:N131)</f>
        <v>2</v>
      </c>
      <c r="U131" s="15">
        <f t="shared" ref="U131:U194" si="11">AVERAGE(O131:Q131)</f>
        <v>3</v>
      </c>
    </row>
    <row r="132" spans="1:21" ht="67.5" x14ac:dyDescent="0.3">
      <c r="A132" s="15">
        <v>1601</v>
      </c>
      <c r="B132" s="15">
        <v>13089</v>
      </c>
      <c r="C132" s="15">
        <v>1</v>
      </c>
      <c r="D132" s="15" t="s">
        <v>11</v>
      </c>
      <c r="E132" s="20" t="s">
        <v>145</v>
      </c>
      <c r="F132" s="15">
        <v>4</v>
      </c>
      <c r="G132" s="15">
        <v>4</v>
      </c>
      <c r="H132" s="21">
        <v>3</v>
      </c>
      <c r="I132" s="15">
        <v>4</v>
      </c>
      <c r="J132" s="15">
        <v>3</v>
      </c>
      <c r="K132" s="21">
        <v>3</v>
      </c>
      <c r="L132" s="15">
        <v>3</v>
      </c>
      <c r="M132" s="15">
        <v>1</v>
      </c>
      <c r="N132" s="21">
        <v>2</v>
      </c>
      <c r="O132" s="15">
        <v>4</v>
      </c>
      <c r="P132" s="15">
        <v>3</v>
      </c>
      <c r="Q132" s="21">
        <v>3</v>
      </c>
      <c r="R132" s="15">
        <f t="shared" si="8"/>
        <v>3.6666666666666665</v>
      </c>
      <c r="S132" s="15">
        <f t="shared" si="9"/>
        <v>3.3333333333333335</v>
      </c>
      <c r="T132" s="15">
        <f t="shared" si="10"/>
        <v>2</v>
      </c>
      <c r="U132" s="15">
        <f t="shared" si="11"/>
        <v>3.3333333333333335</v>
      </c>
    </row>
    <row r="133" spans="1:21" ht="40.5" x14ac:dyDescent="0.3">
      <c r="A133" s="15">
        <v>9209</v>
      </c>
      <c r="B133" s="15">
        <v>10121</v>
      </c>
      <c r="C133" s="15">
        <v>1</v>
      </c>
      <c r="D133" s="15" t="s">
        <v>4</v>
      </c>
      <c r="E133" s="20" t="s">
        <v>146</v>
      </c>
      <c r="F133" s="15">
        <v>4</v>
      </c>
      <c r="G133" s="15">
        <v>2</v>
      </c>
      <c r="H133" s="21">
        <v>3</v>
      </c>
      <c r="I133" s="15">
        <v>3</v>
      </c>
      <c r="J133" s="15">
        <v>3</v>
      </c>
      <c r="K133" s="21">
        <v>3</v>
      </c>
      <c r="L133" s="15">
        <v>2</v>
      </c>
      <c r="M133" s="15">
        <v>1</v>
      </c>
      <c r="N133" s="21">
        <v>1</v>
      </c>
      <c r="O133" s="15">
        <v>4</v>
      </c>
      <c r="P133" s="15">
        <v>2</v>
      </c>
      <c r="Q133" s="21">
        <v>3</v>
      </c>
      <c r="R133" s="15">
        <f t="shared" si="8"/>
        <v>3</v>
      </c>
      <c r="S133" s="15">
        <f t="shared" si="9"/>
        <v>3</v>
      </c>
      <c r="T133" s="15">
        <f t="shared" si="10"/>
        <v>1.3333333333333333</v>
      </c>
      <c r="U133" s="15">
        <f t="shared" si="11"/>
        <v>3</v>
      </c>
    </row>
    <row r="134" spans="1:21" ht="40.5" x14ac:dyDescent="0.3">
      <c r="A134" s="15">
        <v>2210</v>
      </c>
      <c r="B134" s="15">
        <v>14926</v>
      </c>
      <c r="C134" s="15">
        <v>1</v>
      </c>
      <c r="D134" s="15" t="s">
        <v>4</v>
      </c>
      <c r="E134" s="20" t="s">
        <v>147</v>
      </c>
      <c r="F134" s="15">
        <v>3</v>
      </c>
      <c r="G134" s="15">
        <v>3</v>
      </c>
      <c r="H134" s="21">
        <v>3</v>
      </c>
      <c r="I134" s="15">
        <v>3</v>
      </c>
      <c r="J134" s="15">
        <v>3</v>
      </c>
      <c r="K134" s="21">
        <v>3</v>
      </c>
      <c r="L134" s="15">
        <v>2</v>
      </c>
      <c r="M134" s="15">
        <v>3</v>
      </c>
      <c r="N134" s="21">
        <v>1</v>
      </c>
      <c r="O134" s="15">
        <v>3</v>
      </c>
      <c r="P134" s="15">
        <v>3</v>
      </c>
      <c r="Q134" s="21">
        <v>3</v>
      </c>
      <c r="R134" s="15">
        <f t="shared" si="8"/>
        <v>3</v>
      </c>
      <c r="S134" s="15">
        <f t="shared" si="9"/>
        <v>3</v>
      </c>
      <c r="T134" s="15">
        <f t="shared" si="10"/>
        <v>2</v>
      </c>
      <c r="U134" s="15">
        <f t="shared" si="11"/>
        <v>3</v>
      </c>
    </row>
    <row r="135" spans="1:21" ht="40.5" x14ac:dyDescent="0.3">
      <c r="A135" s="15">
        <v>1850</v>
      </c>
      <c r="B135" s="15">
        <v>12018</v>
      </c>
      <c r="C135" s="15">
        <v>1</v>
      </c>
      <c r="D135" s="15" t="s">
        <v>4</v>
      </c>
      <c r="E135" s="20" t="s">
        <v>148</v>
      </c>
      <c r="F135" s="15">
        <v>3</v>
      </c>
      <c r="G135" s="15">
        <v>3</v>
      </c>
      <c r="H135" s="21">
        <v>4</v>
      </c>
      <c r="I135" s="15">
        <v>3</v>
      </c>
      <c r="J135" s="15">
        <v>3</v>
      </c>
      <c r="K135" s="21">
        <v>3</v>
      </c>
      <c r="L135" s="15">
        <v>2</v>
      </c>
      <c r="M135" s="15">
        <v>1</v>
      </c>
      <c r="N135" s="21">
        <v>1</v>
      </c>
      <c r="O135" s="15">
        <v>4</v>
      </c>
      <c r="P135" s="15">
        <v>3</v>
      </c>
      <c r="Q135" s="21">
        <v>4</v>
      </c>
      <c r="R135" s="15">
        <f t="shared" si="8"/>
        <v>3.3333333333333335</v>
      </c>
      <c r="S135" s="15">
        <f t="shared" si="9"/>
        <v>3</v>
      </c>
      <c r="T135" s="15">
        <f t="shared" si="10"/>
        <v>1.3333333333333333</v>
      </c>
      <c r="U135" s="15">
        <f t="shared" si="11"/>
        <v>3.6666666666666665</v>
      </c>
    </row>
    <row r="136" spans="1:21" ht="54" x14ac:dyDescent="0.3">
      <c r="A136" s="15">
        <v>2015</v>
      </c>
      <c r="B136" s="15">
        <v>14614</v>
      </c>
      <c r="C136" s="15">
        <v>1</v>
      </c>
      <c r="D136" s="15" t="s">
        <v>4</v>
      </c>
      <c r="E136" s="20" t="s">
        <v>149</v>
      </c>
      <c r="F136" s="15">
        <v>4</v>
      </c>
      <c r="G136" s="15">
        <v>3</v>
      </c>
      <c r="H136" s="21">
        <v>4</v>
      </c>
      <c r="I136" s="15">
        <v>3</v>
      </c>
      <c r="J136" s="15">
        <v>1</v>
      </c>
      <c r="K136" s="21">
        <v>3</v>
      </c>
      <c r="L136" s="15">
        <v>2</v>
      </c>
      <c r="M136" s="15">
        <v>1</v>
      </c>
      <c r="N136" s="21">
        <v>3</v>
      </c>
      <c r="O136" s="15">
        <v>4</v>
      </c>
      <c r="P136" s="15">
        <v>3</v>
      </c>
      <c r="Q136" s="21">
        <v>4</v>
      </c>
      <c r="R136" s="15">
        <f t="shared" si="8"/>
        <v>3.6666666666666665</v>
      </c>
      <c r="S136" s="15">
        <f t="shared" si="9"/>
        <v>2.3333333333333335</v>
      </c>
      <c r="T136" s="15">
        <f t="shared" si="10"/>
        <v>2</v>
      </c>
      <c r="U136" s="15">
        <f t="shared" si="11"/>
        <v>3.6666666666666665</v>
      </c>
    </row>
    <row r="137" spans="1:21" ht="40.5" x14ac:dyDescent="0.3">
      <c r="A137" s="15">
        <v>4718</v>
      </c>
      <c r="B137" s="15">
        <v>14892</v>
      </c>
      <c r="C137" s="15">
        <v>1</v>
      </c>
      <c r="D137" s="15" t="s">
        <v>4</v>
      </c>
      <c r="E137" s="20" t="s">
        <v>150</v>
      </c>
      <c r="F137" s="15">
        <v>3</v>
      </c>
      <c r="G137" s="15">
        <v>3</v>
      </c>
      <c r="H137" s="21">
        <v>3</v>
      </c>
      <c r="I137" s="15">
        <v>3</v>
      </c>
      <c r="J137" s="15">
        <v>3</v>
      </c>
      <c r="K137" s="21">
        <v>3</v>
      </c>
      <c r="L137" s="15">
        <v>3</v>
      </c>
      <c r="M137" s="15">
        <v>3</v>
      </c>
      <c r="N137" s="21">
        <v>3</v>
      </c>
      <c r="O137" s="15">
        <v>4</v>
      </c>
      <c r="P137" s="15">
        <v>3</v>
      </c>
      <c r="Q137" s="21">
        <v>3</v>
      </c>
      <c r="R137" s="15">
        <f t="shared" si="8"/>
        <v>3</v>
      </c>
      <c r="S137" s="15">
        <f t="shared" si="9"/>
        <v>3</v>
      </c>
      <c r="T137" s="15">
        <f t="shared" si="10"/>
        <v>3</v>
      </c>
      <c r="U137" s="15">
        <f t="shared" si="11"/>
        <v>3.3333333333333335</v>
      </c>
    </row>
    <row r="138" spans="1:21" ht="94.5" x14ac:dyDescent="0.3">
      <c r="A138" s="15">
        <v>3528</v>
      </c>
      <c r="B138" s="15">
        <v>13740</v>
      </c>
      <c r="C138" s="15">
        <v>1</v>
      </c>
      <c r="D138" s="15" t="s">
        <v>11</v>
      </c>
      <c r="E138" s="20" t="s">
        <v>151</v>
      </c>
      <c r="F138" s="15">
        <v>4</v>
      </c>
      <c r="G138" s="15">
        <v>4</v>
      </c>
      <c r="H138" s="21">
        <v>4</v>
      </c>
      <c r="I138" s="15">
        <v>4</v>
      </c>
      <c r="J138" s="15">
        <v>3</v>
      </c>
      <c r="K138" s="21">
        <v>5</v>
      </c>
      <c r="L138" s="15">
        <v>3</v>
      </c>
      <c r="M138" s="15">
        <v>1</v>
      </c>
      <c r="N138" s="21">
        <v>3</v>
      </c>
      <c r="O138" s="15">
        <v>4</v>
      </c>
      <c r="P138" s="15">
        <v>4</v>
      </c>
      <c r="Q138" s="21">
        <v>4</v>
      </c>
      <c r="R138" s="15">
        <f t="shared" si="8"/>
        <v>4</v>
      </c>
      <c r="S138" s="15">
        <f t="shared" si="9"/>
        <v>4</v>
      </c>
      <c r="T138" s="15">
        <f t="shared" si="10"/>
        <v>2.3333333333333335</v>
      </c>
      <c r="U138" s="15">
        <f t="shared" si="11"/>
        <v>4</v>
      </c>
    </row>
    <row r="139" spans="1:21" ht="81" x14ac:dyDescent="0.3">
      <c r="A139" s="15">
        <v>17039</v>
      </c>
      <c r="B139" s="15">
        <v>11958</v>
      </c>
      <c r="C139" s="15">
        <v>1</v>
      </c>
      <c r="D139" s="15" t="s">
        <v>40</v>
      </c>
      <c r="E139" s="20" t="s">
        <v>152</v>
      </c>
      <c r="F139" s="15">
        <v>4</v>
      </c>
      <c r="G139" s="15">
        <v>4</v>
      </c>
      <c r="H139" s="21">
        <v>4</v>
      </c>
      <c r="I139" s="15">
        <v>3</v>
      </c>
      <c r="J139" s="15">
        <v>3</v>
      </c>
      <c r="K139" s="21">
        <v>4</v>
      </c>
      <c r="L139" s="15">
        <v>3</v>
      </c>
      <c r="M139" s="15">
        <v>3</v>
      </c>
      <c r="N139" s="21">
        <v>3</v>
      </c>
      <c r="O139" s="15">
        <v>4</v>
      </c>
      <c r="P139" s="15">
        <v>4</v>
      </c>
      <c r="Q139" s="21">
        <v>4</v>
      </c>
      <c r="R139" s="15">
        <f t="shared" si="8"/>
        <v>4</v>
      </c>
      <c r="S139" s="15">
        <f t="shared" si="9"/>
        <v>3.3333333333333335</v>
      </c>
      <c r="T139" s="15">
        <f t="shared" si="10"/>
        <v>3</v>
      </c>
      <c r="U139" s="15">
        <f t="shared" si="11"/>
        <v>4</v>
      </c>
    </row>
    <row r="140" spans="1:21" ht="94.5" x14ac:dyDescent="0.3">
      <c r="A140" s="15">
        <v>8229</v>
      </c>
      <c r="B140" s="15">
        <v>13652</v>
      </c>
      <c r="C140" s="15">
        <v>1</v>
      </c>
      <c r="D140" s="15" t="s">
        <v>4</v>
      </c>
      <c r="E140" s="20" t="s">
        <v>153</v>
      </c>
      <c r="F140" s="15">
        <v>4</v>
      </c>
      <c r="G140" s="15">
        <v>4</v>
      </c>
      <c r="H140" s="21">
        <v>4</v>
      </c>
      <c r="I140" s="15">
        <v>4</v>
      </c>
      <c r="J140" s="15">
        <v>3</v>
      </c>
      <c r="K140" s="21">
        <v>4</v>
      </c>
      <c r="L140" s="15">
        <v>3</v>
      </c>
      <c r="M140" s="15">
        <v>1</v>
      </c>
      <c r="N140" s="21">
        <v>3</v>
      </c>
      <c r="O140" s="15">
        <v>4</v>
      </c>
      <c r="P140" s="15">
        <v>4</v>
      </c>
      <c r="Q140" s="21">
        <v>4</v>
      </c>
      <c r="R140" s="15">
        <f t="shared" si="8"/>
        <v>4</v>
      </c>
      <c r="S140" s="15">
        <f t="shared" si="9"/>
        <v>3.6666666666666665</v>
      </c>
      <c r="T140" s="15">
        <f t="shared" si="10"/>
        <v>2.3333333333333335</v>
      </c>
      <c r="U140" s="15">
        <f t="shared" si="11"/>
        <v>4</v>
      </c>
    </row>
    <row r="141" spans="1:21" ht="54" x14ac:dyDescent="0.3">
      <c r="A141" s="15">
        <v>1680</v>
      </c>
      <c r="B141" s="15">
        <v>14478</v>
      </c>
      <c r="C141" s="15">
        <v>1</v>
      </c>
      <c r="D141" s="15" t="s">
        <v>4</v>
      </c>
      <c r="E141" s="20" t="s">
        <v>154</v>
      </c>
      <c r="F141" s="15">
        <v>3</v>
      </c>
      <c r="G141" s="15">
        <v>2</v>
      </c>
      <c r="H141" s="21">
        <v>3</v>
      </c>
      <c r="I141" s="15">
        <v>4</v>
      </c>
      <c r="J141" s="15">
        <v>3</v>
      </c>
      <c r="K141" s="21">
        <v>3</v>
      </c>
      <c r="L141" s="15">
        <v>3</v>
      </c>
      <c r="M141" s="15">
        <v>1</v>
      </c>
      <c r="N141" s="21">
        <v>2</v>
      </c>
      <c r="O141" s="15">
        <v>3</v>
      </c>
      <c r="P141" s="15">
        <v>2</v>
      </c>
      <c r="Q141" s="21">
        <v>3</v>
      </c>
      <c r="R141" s="15">
        <f t="shared" si="8"/>
        <v>2.6666666666666665</v>
      </c>
      <c r="S141" s="15">
        <f t="shared" si="9"/>
        <v>3.3333333333333335</v>
      </c>
      <c r="T141" s="15">
        <f t="shared" si="10"/>
        <v>2</v>
      </c>
      <c r="U141" s="15">
        <f t="shared" si="11"/>
        <v>2.6666666666666665</v>
      </c>
    </row>
    <row r="142" spans="1:21" ht="40.5" x14ac:dyDescent="0.3">
      <c r="A142" s="15">
        <v>16277</v>
      </c>
      <c r="B142" s="15">
        <v>10352</v>
      </c>
      <c r="C142" s="15">
        <v>1</v>
      </c>
      <c r="D142" s="15" t="s">
        <v>4</v>
      </c>
      <c r="E142" s="20" t="s">
        <v>155</v>
      </c>
      <c r="F142" s="15">
        <v>3</v>
      </c>
      <c r="G142" s="15">
        <v>3</v>
      </c>
      <c r="H142" s="21">
        <v>4</v>
      </c>
      <c r="I142" s="15">
        <v>3</v>
      </c>
      <c r="J142" s="15">
        <v>1</v>
      </c>
      <c r="K142" s="21">
        <v>3</v>
      </c>
      <c r="L142" s="15">
        <v>2</v>
      </c>
      <c r="M142" s="15">
        <v>1</v>
      </c>
      <c r="N142" s="21">
        <v>3</v>
      </c>
      <c r="O142" s="15">
        <v>3</v>
      </c>
      <c r="P142" s="15">
        <v>3</v>
      </c>
      <c r="Q142" s="21">
        <v>4</v>
      </c>
      <c r="R142" s="15">
        <f t="shared" si="8"/>
        <v>3.3333333333333335</v>
      </c>
      <c r="S142" s="15">
        <f t="shared" si="9"/>
        <v>2.3333333333333335</v>
      </c>
      <c r="T142" s="15">
        <f t="shared" si="10"/>
        <v>2</v>
      </c>
      <c r="U142" s="15">
        <f t="shared" si="11"/>
        <v>3.3333333333333335</v>
      </c>
    </row>
    <row r="143" spans="1:21" ht="67.5" x14ac:dyDescent="0.3">
      <c r="A143" s="15">
        <v>11407</v>
      </c>
      <c r="B143" s="15">
        <v>13397</v>
      </c>
      <c r="C143" s="15">
        <v>1</v>
      </c>
      <c r="D143" s="15" t="s">
        <v>11</v>
      </c>
      <c r="E143" s="20" t="s">
        <v>156</v>
      </c>
      <c r="F143" s="15">
        <v>3</v>
      </c>
      <c r="G143" s="15">
        <v>3</v>
      </c>
      <c r="H143" s="21">
        <v>4</v>
      </c>
      <c r="I143" s="15">
        <v>4</v>
      </c>
      <c r="J143" s="15">
        <v>3</v>
      </c>
      <c r="K143" s="21">
        <v>3</v>
      </c>
      <c r="L143" s="15">
        <v>2</v>
      </c>
      <c r="M143" s="15">
        <v>1</v>
      </c>
      <c r="N143" s="21">
        <v>3</v>
      </c>
      <c r="O143" s="15">
        <v>4</v>
      </c>
      <c r="P143" s="15">
        <v>3</v>
      </c>
      <c r="Q143" s="21">
        <v>4</v>
      </c>
      <c r="R143" s="15">
        <f t="shared" si="8"/>
        <v>3.3333333333333335</v>
      </c>
      <c r="S143" s="15">
        <f t="shared" si="9"/>
        <v>3.3333333333333335</v>
      </c>
      <c r="T143" s="15">
        <f t="shared" si="10"/>
        <v>2</v>
      </c>
      <c r="U143" s="15">
        <f t="shared" si="11"/>
        <v>3.6666666666666665</v>
      </c>
    </row>
    <row r="144" spans="1:21" ht="27" x14ac:dyDescent="0.3">
      <c r="A144" s="15">
        <v>13152</v>
      </c>
      <c r="B144" s="15">
        <v>10522</v>
      </c>
      <c r="C144" s="15">
        <v>1</v>
      </c>
      <c r="D144" s="15" t="s">
        <v>4</v>
      </c>
      <c r="E144" s="20" t="s">
        <v>157</v>
      </c>
      <c r="F144" s="15">
        <v>3</v>
      </c>
      <c r="G144" s="15">
        <v>3</v>
      </c>
      <c r="H144" s="21">
        <v>3</v>
      </c>
      <c r="I144" s="15">
        <v>3</v>
      </c>
      <c r="J144" s="15">
        <v>1</v>
      </c>
      <c r="K144" s="21">
        <v>3</v>
      </c>
      <c r="L144" s="15">
        <v>2</v>
      </c>
      <c r="M144" s="15">
        <v>1</v>
      </c>
      <c r="N144" s="21">
        <v>3</v>
      </c>
      <c r="O144" s="15">
        <v>3</v>
      </c>
      <c r="P144" s="15">
        <v>3</v>
      </c>
      <c r="Q144" s="21">
        <v>3</v>
      </c>
      <c r="R144" s="15">
        <f t="shared" si="8"/>
        <v>3</v>
      </c>
      <c r="S144" s="15">
        <f t="shared" si="9"/>
        <v>2.3333333333333335</v>
      </c>
      <c r="T144" s="15">
        <f t="shared" si="10"/>
        <v>2</v>
      </c>
      <c r="U144" s="15">
        <f t="shared" si="11"/>
        <v>3</v>
      </c>
    </row>
    <row r="145" spans="1:21" ht="54" x14ac:dyDescent="0.3">
      <c r="A145" s="15">
        <v>109</v>
      </c>
      <c r="B145" s="15">
        <v>13763</v>
      </c>
      <c r="C145" s="15">
        <v>1</v>
      </c>
      <c r="D145" s="15" t="s">
        <v>11</v>
      </c>
      <c r="E145" s="20" t="s">
        <v>158</v>
      </c>
      <c r="F145" s="15">
        <v>3</v>
      </c>
      <c r="G145" s="15">
        <v>3</v>
      </c>
      <c r="H145" s="21">
        <v>4</v>
      </c>
      <c r="I145" s="15">
        <v>3</v>
      </c>
      <c r="J145" s="15">
        <v>1</v>
      </c>
      <c r="K145" s="21">
        <v>3</v>
      </c>
      <c r="L145" s="15">
        <v>2</v>
      </c>
      <c r="M145" s="15">
        <v>1</v>
      </c>
      <c r="N145" s="21">
        <v>3</v>
      </c>
      <c r="O145" s="15">
        <v>3</v>
      </c>
      <c r="P145" s="15">
        <v>3</v>
      </c>
      <c r="Q145" s="21">
        <v>4</v>
      </c>
      <c r="R145" s="15">
        <f t="shared" si="8"/>
        <v>3.3333333333333335</v>
      </c>
      <c r="S145" s="15">
        <f t="shared" si="9"/>
        <v>2.3333333333333335</v>
      </c>
      <c r="T145" s="15">
        <f t="shared" si="10"/>
        <v>2</v>
      </c>
      <c r="U145" s="15">
        <f t="shared" si="11"/>
        <v>3.3333333333333335</v>
      </c>
    </row>
    <row r="146" spans="1:21" ht="40.5" x14ac:dyDescent="0.3">
      <c r="A146" s="15">
        <v>2546</v>
      </c>
      <c r="B146" s="15">
        <v>13718</v>
      </c>
      <c r="C146" s="15">
        <v>1</v>
      </c>
      <c r="D146" s="15" t="s">
        <v>11</v>
      </c>
      <c r="E146" s="20" t="s">
        <v>159</v>
      </c>
      <c r="F146" s="15">
        <v>3</v>
      </c>
      <c r="G146" s="15">
        <v>3</v>
      </c>
      <c r="H146" s="21">
        <v>3</v>
      </c>
      <c r="I146" s="15">
        <v>3</v>
      </c>
      <c r="J146" s="15">
        <v>3</v>
      </c>
      <c r="K146" s="21">
        <v>3</v>
      </c>
      <c r="L146" s="15">
        <v>3</v>
      </c>
      <c r="M146" s="15">
        <v>1</v>
      </c>
      <c r="N146" s="21">
        <v>1</v>
      </c>
      <c r="O146" s="15">
        <v>3</v>
      </c>
      <c r="P146" s="15">
        <v>3</v>
      </c>
      <c r="Q146" s="21">
        <v>3</v>
      </c>
      <c r="R146" s="15">
        <f t="shared" si="8"/>
        <v>3</v>
      </c>
      <c r="S146" s="15">
        <f t="shared" si="9"/>
        <v>3</v>
      </c>
      <c r="T146" s="15">
        <f t="shared" si="10"/>
        <v>1.6666666666666667</v>
      </c>
      <c r="U146" s="15">
        <f t="shared" si="11"/>
        <v>3</v>
      </c>
    </row>
    <row r="147" spans="1:21" ht="94.5" x14ac:dyDescent="0.3">
      <c r="A147" s="15">
        <v>15156</v>
      </c>
      <c r="B147" s="15">
        <v>14851</v>
      </c>
      <c r="C147" s="15">
        <v>1</v>
      </c>
      <c r="D147" s="15" t="s">
        <v>4</v>
      </c>
      <c r="E147" s="20" t="s">
        <v>160</v>
      </c>
      <c r="F147" s="15">
        <v>4</v>
      </c>
      <c r="G147" s="15">
        <v>4</v>
      </c>
      <c r="H147" s="21">
        <v>4</v>
      </c>
      <c r="I147" s="15">
        <v>3</v>
      </c>
      <c r="J147" s="15">
        <v>3</v>
      </c>
      <c r="K147" s="21">
        <v>5</v>
      </c>
      <c r="L147" s="15">
        <v>2</v>
      </c>
      <c r="M147" s="15">
        <v>3</v>
      </c>
      <c r="N147" s="21">
        <v>3</v>
      </c>
      <c r="O147" s="15">
        <v>4</v>
      </c>
      <c r="P147" s="15">
        <v>4</v>
      </c>
      <c r="Q147" s="21">
        <v>4</v>
      </c>
      <c r="R147" s="15">
        <f t="shared" si="8"/>
        <v>4</v>
      </c>
      <c r="S147" s="15">
        <f t="shared" si="9"/>
        <v>3.6666666666666665</v>
      </c>
      <c r="T147" s="15">
        <f t="shared" si="10"/>
        <v>2.6666666666666665</v>
      </c>
      <c r="U147" s="15">
        <f t="shared" si="11"/>
        <v>4</v>
      </c>
    </row>
    <row r="148" spans="1:21" ht="67.5" x14ac:dyDescent="0.3">
      <c r="A148" s="15">
        <v>13380</v>
      </c>
      <c r="B148" s="15">
        <v>10753</v>
      </c>
      <c r="C148" s="15">
        <v>1</v>
      </c>
      <c r="D148" s="15" t="s">
        <v>4</v>
      </c>
      <c r="E148" s="20" t="s">
        <v>161</v>
      </c>
      <c r="F148" s="15">
        <v>4</v>
      </c>
      <c r="G148" s="15">
        <v>4</v>
      </c>
      <c r="H148" s="21">
        <v>4</v>
      </c>
      <c r="I148" s="15">
        <v>3</v>
      </c>
      <c r="J148" s="15">
        <v>3</v>
      </c>
      <c r="K148" s="21">
        <v>3</v>
      </c>
      <c r="L148" s="15">
        <v>2</v>
      </c>
      <c r="M148" s="15">
        <v>1</v>
      </c>
      <c r="N148" s="21">
        <v>3</v>
      </c>
      <c r="O148" s="15">
        <v>4</v>
      </c>
      <c r="P148" s="15">
        <v>4</v>
      </c>
      <c r="Q148" s="21">
        <v>5</v>
      </c>
      <c r="R148" s="15">
        <f t="shared" si="8"/>
        <v>4</v>
      </c>
      <c r="S148" s="15">
        <f t="shared" si="9"/>
        <v>3</v>
      </c>
      <c r="T148" s="15">
        <f t="shared" si="10"/>
        <v>2</v>
      </c>
      <c r="U148" s="15">
        <f t="shared" si="11"/>
        <v>4.333333333333333</v>
      </c>
    </row>
    <row r="149" spans="1:21" ht="54" x14ac:dyDescent="0.3">
      <c r="A149" s="15">
        <v>11163</v>
      </c>
      <c r="B149" s="15">
        <v>13653</v>
      </c>
      <c r="C149" s="15">
        <v>1</v>
      </c>
      <c r="D149" s="15" t="s">
        <v>11</v>
      </c>
      <c r="E149" s="20" t="s">
        <v>162</v>
      </c>
      <c r="F149" s="15">
        <v>4</v>
      </c>
      <c r="G149" s="15">
        <v>3</v>
      </c>
      <c r="H149" s="21">
        <v>3</v>
      </c>
      <c r="I149" s="15">
        <v>3</v>
      </c>
      <c r="J149" s="15">
        <v>3</v>
      </c>
      <c r="K149" s="21">
        <v>3</v>
      </c>
      <c r="L149" s="15">
        <v>3</v>
      </c>
      <c r="M149" s="15">
        <v>1</v>
      </c>
      <c r="N149" s="21">
        <v>3</v>
      </c>
      <c r="O149" s="15">
        <v>3</v>
      </c>
      <c r="P149" s="15">
        <v>3</v>
      </c>
      <c r="Q149" s="21">
        <v>3</v>
      </c>
      <c r="R149" s="15">
        <f t="shared" si="8"/>
        <v>3.3333333333333335</v>
      </c>
      <c r="S149" s="15">
        <f t="shared" si="9"/>
        <v>3</v>
      </c>
      <c r="T149" s="15">
        <f t="shared" si="10"/>
        <v>2.3333333333333335</v>
      </c>
      <c r="U149" s="15">
        <f t="shared" si="11"/>
        <v>3</v>
      </c>
    </row>
    <row r="150" spans="1:21" ht="54" x14ac:dyDescent="0.3">
      <c r="A150" s="15">
        <v>14699</v>
      </c>
      <c r="B150" s="15">
        <v>14984</v>
      </c>
      <c r="C150" s="15">
        <v>1</v>
      </c>
      <c r="D150" s="15" t="s">
        <v>4</v>
      </c>
      <c r="E150" s="20" t="s">
        <v>163</v>
      </c>
      <c r="F150" s="15">
        <v>3</v>
      </c>
      <c r="G150" s="15">
        <v>3</v>
      </c>
      <c r="H150" s="21">
        <v>4</v>
      </c>
      <c r="I150" s="15">
        <v>3</v>
      </c>
      <c r="J150" s="15">
        <v>3</v>
      </c>
      <c r="K150" s="21">
        <v>3</v>
      </c>
      <c r="L150" s="15">
        <v>3</v>
      </c>
      <c r="M150" s="15">
        <v>1</v>
      </c>
      <c r="N150" s="21">
        <v>3</v>
      </c>
      <c r="O150" s="15">
        <v>3</v>
      </c>
      <c r="P150" s="15">
        <v>4</v>
      </c>
      <c r="Q150" s="21">
        <v>4</v>
      </c>
      <c r="R150" s="15">
        <f t="shared" si="8"/>
        <v>3.3333333333333335</v>
      </c>
      <c r="S150" s="15">
        <f t="shared" si="9"/>
        <v>3</v>
      </c>
      <c r="T150" s="15">
        <f t="shared" si="10"/>
        <v>2.3333333333333335</v>
      </c>
      <c r="U150" s="15">
        <f t="shared" si="11"/>
        <v>3.6666666666666665</v>
      </c>
    </row>
    <row r="151" spans="1:21" ht="81" x14ac:dyDescent="0.3">
      <c r="A151" s="15">
        <v>3040</v>
      </c>
      <c r="B151" s="15">
        <v>11031</v>
      </c>
      <c r="C151" s="15">
        <v>1</v>
      </c>
      <c r="D151" s="15" t="s">
        <v>4</v>
      </c>
      <c r="E151" s="20" t="s">
        <v>164</v>
      </c>
      <c r="F151" s="15">
        <v>4</v>
      </c>
      <c r="G151" s="15">
        <v>3</v>
      </c>
      <c r="H151" s="21">
        <v>4</v>
      </c>
      <c r="I151" s="15">
        <v>3</v>
      </c>
      <c r="J151" s="15">
        <v>3</v>
      </c>
      <c r="K151" s="21">
        <v>5</v>
      </c>
      <c r="L151" s="15">
        <v>2</v>
      </c>
      <c r="M151" s="15">
        <v>1</v>
      </c>
      <c r="N151" s="21">
        <v>1</v>
      </c>
      <c r="O151" s="15">
        <v>4</v>
      </c>
      <c r="P151" s="15">
        <v>3</v>
      </c>
      <c r="Q151" s="21">
        <v>4</v>
      </c>
      <c r="R151" s="15">
        <f t="shared" si="8"/>
        <v>3.6666666666666665</v>
      </c>
      <c r="S151" s="15">
        <f t="shared" si="9"/>
        <v>3.6666666666666665</v>
      </c>
      <c r="T151" s="15">
        <f t="shared" si="10"/>
        <v>1.3333333333333333</v>
      </c>
      <c r="U151" s="15">
        <f t="shared" si="11"/>
        <v>3.6666666666666665</v>
      </c>
    </row>
    <row r="152" spans="1:21" ht="81" x14ac:dyDescent="0.3">
      <c r="A152" s="15">
        <v>4639</v>
      </c>
      <c r="B152" s="15">
        <v>15129</v>
      </c>
      <c r="C152" s="15">
        <v>1</v>
      </c>
      <c r="D152" s="15" t="s">
        <v>4</v>
      </c>
      <c r="E152" s="20" t="s">
        <v>165</v>
      </c>
      <c r="F152" s="15">
        <v>4</v>
      </c>
      <c r="G152" s="15">
        <v>3</v>
      </c>
      <c r="H152" s="21">
        <v>4</v>
      </c>
      <c r="I152" s="15">
        <v>3</v>
      </c>
      <c r="J152" s="15">
        <v>1</v>
      </c>
      <c r="K152" s="21">
        <v>5</v>
      </c>
      <c r="L152" s="15">
        <v>3</v>
      </c>
      <c r="M152" s="15">
        <v>1</v>
      </c>
      <c r="N152" s="21">
        <v>3</v>
      </c>
      <c r="O152" s="15">
        <v>4</v>
      </c>
      <c r="P152" s="15">
        <v>3</v>
      </c>
      <c r="Q152" s="21">
        <v>4</v>
      </c>
      <c r="R152" s="15">
        <f t="shared" si="8"/>
        <v>3.6666666666666665</v>
      </c>
      <c r="S152" s="15">
        <f t="shared" si="9"/>
        <v>3</v>
      </c>
      <c r="T152" s="15">
        <f t="shared" si="10"/>
        <v>2.3333333333333335</v>
      </c>
      <c r="U152" s="15">
        <f t="shared" si="11"/>
        <v>3.6666666666666665</v>
      </c>
    </row>
    <row r="153" spans="1:21" ht="40.5" x14ac:dyDescent="0.3">
      <c r="A153" s="15">
        <v>9142</v>
      </c>
      <c r="B153" s="15">
        <v>11326</v>
      </c>
      <c r="C153" s="15">
        <v>1</v>
      </c>
      <c r="D153" s="15" t="s">
        <v>6</v>
      </c>
      <c r="E153" s="20" t="s">
        <v>166</v>
      </c>
      <c r="F153" s="15">
        <v>3</v>
      </c>
      <c r="G153" s="15">
        <v>3</v>
      </c>
      <c r="H153" s="21">
        <v>3</v>
      </c>
      <c r="I153" s="15">
        <v>3</v>
      </c>
      <c r="J153" s="15">
        <v>1</v>
      </c>
      <c r="K153" s="21">
        <v>3</v>
      </c>
      <c r="L153" s="15">
        <v>2</v>
      </c>
      <c r="M153" s="15">
        <v>1</v>
      </c>
      <c r="N153" s="21">
        <v>3</v>
      </c>
      <c r="O153" s="15">
        <v>4</v>
      </c>
      <c r="P153" s="15">
        <v>3</v>
      </c>
      <c r="Q153" s="21">
        <v>3</v>
      </c>
      <c r="R153" s="15">
        <f t="shared" si="8"/>
        <v>3</v>
      </c>
      <c r="S153" s="15">
        <f t="shared" si="9"/>
        <v>2.3333333333333335</v>
      </c>
      <c r="T153" s="15">
        <f t="shared" si="10"/>
        <v>2</v>
      </c>
      <c r="U153" s="15">
        <f t="shared" si="11"/>
        <v>3.3333333333333335</v>
      </c>
    </row>
    <row r="154" spans="1:21" ht="40.5" x14ac:dyDescent="0.3">
      <c r="A154" s="15">
        <v>7803</v>
      </c>
      <c r="B154" s="15">
        <v>10210</v>
      </c>
      <c r="C154" s="15">
        <v>1</v>
      </c>
      <c r="D154" s="15" t="s">
        <v>4</v>
      </c>
      <c r="E154" s="20" t="s">
        <v>167</v>
      </c>
      <c r="F154" s="15">
        <v>3</v>
      </c>
      <c r="G154" s="15">
        <v>2</v>
      </c>
      <c r="H154" s="21">
        <v>3</v>
      </c>
      <c r="I154" s="15">
        <v>3</v>
      </c>
      <c r="J154" s="15">
        <v>3</v>
      </c>
      <c r="K154" s="21">
        <v>3</v>
      </c>
      <c r="L154" s="15">
        <v>3</v>
      </c>
      <c r="M154" s="15">
        <v>1</v>
      </c>
      <c r="N154" s="21">
        <v>3</v>
      </c>
      <c r="O154" s="15">
        <v>4</v>
      </c>
      <c r="P154" s="15">
        <v>2</v>
      </c>
      <c r="Q154" s="21">
        <v>3</v>
      </c>
      <c r="R154" s="15">
        <f t="shared" si="8"/>
        <v>2.6666666666666665</v>
      </c>
      <c r="S154" s="15">
        <f t="shared" si="9"/>
        <v>3</v>
      </c>
      <c r="T154" s="15">
        <f t="shared" si="10"/>
        <v>2.3333333333333335</v>
      </c>
      <c r="U154" s="15">
        <f t="shared" si="11"/>
        <v>3</v>
      </c>
    </row>
    <row r="155" spans="1:21" ht="40.5" x14ac:dyDescent="0.3">
      <c r="A155" s="15">
        <v>17100</v>
      </c>
      <c r="B155" s="15">
        <v>14760</v>
      </c>
      <c r="C155" s="15">
        <v>1</v>
      </c>
      <c r="D155" s="15" t="s">
        <v>4</v>
      </c>
      <c r="E155" s="20" t="s">
        <v>168</v>
      </c>
      <c r="F155" s="15">
        <v>3</v>
      </c>
      <c r="G155" s="15">
        <v>3</v>
      </c>
      <c r="H155" s="21">
        <v>3</v>
      </c>
      <c r="I155" s="15">
        <v>3</v>
      </c>
      <c r="J155" s="15">
        <v>3</v>
      </c>
      <c r="K155" s="21">
        <v>3</v>
      </c>
      <c r="L155" s="15">
        <v>2</v>
      </c>
      <c r="M155" s="15">
        <v>1</v>
      </c>
      <c r="N155" s="21">
        <v>3</v>
      </c>
      <c r="O155" s="15">
        <v>4</v>
      </c>
      <c r="P155" s="15">
        <v>3</v>
      </c>
      <c r="Q155" s="21">
        <v>3</v>
      </c>
      <c r="R155" s="15">
        <f t="shared" si="8"/>
        <v>3</v>
      </c>
      <c r="S155" s="15">
        <f t="shared" si="9"/>
        <v>3</v>
      </c>
      <c r="T155" s="15">
        <f t="shared" si="10"/>
        <v>2</v>
      </c>
      <c r="U155" s="15">
        <f t="shared" si="11"/>
        <v>3.3333333333333335</v>
      </c>
    </row>
    <row r="156" spans="1:21" ht="54" x14ac:dyDescent="0.3">
      <c r="A156" s="15">
        <v>8883</v>
      </c>
      <c r="B156" s="15">
        <v>13436</v>
      </c>
      <c r="C156" s="15">
        <v>1</v>
      </c>
      <c r="D156" s="15" t="s">
        <v>11</v>
      </c>
      <c r="E156" s="20" t="s">
        <v>169</v>
      </c>
      <c r="F156" s="15">
        <v>4</v>
      </c>
      <c r="G156" s="15">
        <v>3</v>
      </c>
      <c r="H156" s="21">
        <v>3</v>
      </c>
      <c r="I156" s="15">
        <v>3</v>
      </c>
      <c r="J156" s="15">
        <v>3</v>
      </c>
      <c r="K156" s="21">
        <v>3</v>
      </c>
      <c r="L156" s="15">
        <v>3</v>
      </c>
      <c r="M156" s="15">
        <v>1</v>
      </c>
      <c r="N156" s="21">
        <v>3</v>
      </c>
      <c r="O156" s="15">
        <v>4</v>
      </c>
      <c r="P156" s="15">
        <v>3</v>
      </c>
      <c r="Q156" s="21">
        <v>4</v>
      </c>
      <c r="R156" s="15">
        <f t="shared" si="8"/>
        <v>3.3333333333333335</v>
      </c>
      <c r="S156" s="15">
        <f t="shared" si="9"/>
        <v>3</v>
      </c>
      <c r="T156" s="15">
        <f t="shared" si="10"/>
        <v>2.3333333333333335</v>
      </c>
      <c r="U156" s="15">
        <f t="shared" si="11"/>
        <v>3.6666666666666665</v>
      </c>
    </row>
    <row r="157" spans="1:21" ht="67.5" x14ac:dyDescent="0.3">
      <c r="A157" s="15">
        <v>14132</v>
      </c>
      <c r="B157" s="15">
        <v>14580</v>
      </c>
      <c r="C157" s="15">
        <v>1</v>
      </c>
      <c r="D157" s="15" t="s">
        <v>4</v>
      </c>
      <c r="E157" s="20" t="s">
        <v>170</v>
      </c>
      <c r="F157" s="15">
        <v>3</v>
      </c>
      <c r="G157" s="15">
        <v>3</v>
      </c>
      <c r="H157" s="21">
        <v>3</v>
      </c>
      <c r="I157" s="15">
        <v>5</v>
      </c>
      <c r="J157" s="15">
        <v>1</v>
      </c>
      <c r="K157" s="21">
        <v>5</v>
      </c>
      <c r="L157" s="15">
        <v>2</v>
      </c>
      <c r="M157" s="15">
        <v>1</v>
      </c>
      <c r="N157" s="21">
        <v>1</v>
      </c>
      <c r="O157" s="15">
        <v>4</v>
      </c>
      <c r="P157" s="15">
        <v>3</v>
      </c>
      <c r="Q157" s="21">
        <v>3</v>
      </c>
      <c r="R157" s="15">
        <f t="shared" si="8"/>
        <v>3</v>
      </c>
      <c r="S157" s="15">
        <f t="shared" si="9"/>
        <v>3.6666666666666665</v>
      </c>
      <c r="T157" s="15">
        <f t="shared" si="10"/>
        <v>1.3333333333333333</v>
      </c>
      <c r="U157" s="15">
        <f t="shared" si="11"/>
        <v>3.3333333333333335</v>
      </c>
    </row>
    <row r="158" spans="1:21" ht="54" x14ac:dyDescent="0.3">
      <c r="A158" s="15">
        <v>2954</v>
      </c>
      <c r="B158" s="15">
        <v>11019</v>
      </c>
      <c r="C158" s="15">
        <v>1</v>
      </c>
      <c r="D158" s="15" t="s">
        <v>4</v>
      </c>
      <c r="E158" s="20" t="s">
        <v>171</v>
      </c>
      <c r="F158" s="15">
        <v>3</v>
      </c>
      <c r="G158" s="15">
        <v>3</v>
      </c>
      <c r="H158" s="21">
        <v>4</v>
      </c>
      <c r="I158" s="15">
        <v>4</v>
      </c>
      <c r="J158" s="15">
        <v>3</v>
      </c>
      <c r="K158" s="21">
        <v>4</v>
      </c>
      <c r="L158" s="15">
        <v>2</v>
      </c>
      <c r="M158" s="15">
        <v>1</v>
      </c>
      <c r="N158" s="21">
        <v>3</v>
      </c>
      <c r="O158" s="15">
        <v>4</v>
      </c>
      <c r="P158" s="15">
        <v>3</v>
      </c>
      <c r="Q158" s="21">
        <v>4</v>
      </c>
      <c r="R158" s="15">
        <f t="shared" si="8"/>
        <v>3.3333333333333335</v>
      </c>
      <c r="S158" s="15">
        <f t="shared" si="9"/>
        <v>3.6666666666666665</v>
      </c>
      <c r="T158" s="15">
        <f t="shared" si="10"/>
        <v>2</v>
      </c>
      <c r="U158" s="15">
        <f t="shared" si="11"/>
        <v>3.6666666666666665</v>
      </c>
    </row>
    <row r="159" spans="1:21" ht="67.5" x14ac:dyDescent="0.3">
      <c r="A159" s="15">
        <v>13308</v>
      </c>
      <c r="B159" s="15">
        <v>13516</v>
      </c>
      <c r="C159" s="15">
        <v>1</v>
      </c>
      <c r="D159" s="15" t="s">
        <v>11</v>
      </c>
      <c r="E159" s="20" t="s">
        <v>172</v>
      </c>
      <c r="F159" s="15">
        <v>4</v>
      </c>
      <c r="G159" s="15">
        <v>3</v>
      </c>
      <c r="H159" s="21">
        <v>3</v>
      </c>
      <c r="I159" s="15">
        <v>3</v>
      </c>
      <c r="J159" s="15">
        <v>3</v>
      </c>
      <c r="K159" s="21">
        <v>3</v>
      </c>
      <c r="L159" s="15">
        <v>3</v>
      </c>
      <c r="M159" s="15">
        <v>1</v>
      </c>
      <c r="N159" s="21">
        <v>3</v>
      </c>
      <c r="O159" s="15">
        <v>4</v>
      </c>
      <c r="P159" s="15">
        <v>3</v>
      </c>
      <c r="Q159" s="21">
        <v>3</v>
      </c>
      <c r="R159" s="15">
        <f t="shared" si="8"/>
        <v>3.3333333333333335</v>
      </c>
      <c r="S159" s="15">
        <f t="shared" si="9"/>
        <v>3</v>
      </c>
      <c r="T159" s="15">
        <f t="shared" si="10"/>
        <v>2.3333333333333335</v>
      </c>
      <c r="U159" s="15">
        <f t="shared" si="11"/>
        <v>3.3333333333333335</v>
      </c>
    </row>
    <row r="160" spans="1:21" ht="40.5" x14ac:dyDescent="0.3">
      <c r="A160" s="15">
        <v>4160</v>
      </c>
      <c r="B160" s="15">
        <v>11501</v>
      </c>
      <c r="C160" s="15">
        <v>1</v>
      </c>
      <c r="D160" s="15" t="s">
        <v>50</v>
      </c>
      <c r="E160" s="20" t="s">
        <v>173</v>
      </c>
      <c r="F160" s="15">
        <v>3</v>
      </c>
      <c r="G160" s="15">
        <v>3</v>
      </c>
      <c r="H160" s="21">
        <v>4</v>
      </c>
      <c r="I160" s="15">
        <v>3</v>
      </c>
      <c r="J160" s="15">
        <v>1</v>
      </c>
      <c r="K160" s="21">
        <v>3</v>
      </c>
      <c r="L160" s="15">
        <v>2</v>
      </c>
      <c r="M160" s="15">
        <v>1</v>
      </c>
      <c r="N160" s="21">
        <v>3</v>
      </c>
      <c r="O160" s="15">
        <v>3</v>
      </c>
      <c r="P160" s="15">
        <v>3</v>
      </c>
      <c r="Q160" s="21">
        <v>4</v>
      </c>
      <c r="R160" s="15">
        <f t="shared" si="8"/>
        <v>3.3333333333333335</v>
      </c>
      <c r="S160" s="15">
        <f t="shared" si="9"/>
        <v>2.3333333333333335</v>
      </c>
      <c r="T160" s="15">
        <f t="shared" si="10"/>
        <v>2</v>
      </c>
      <c r="U160" s="15">
        <f t="shared" si="11"/>
        <v>3.3333333333333335</v>
      </c>
    </row>
    <row r="161" spans="1:21" ht="81" x14ac:dyDescent="0.3">
      <c r="A161" s="15">
        <v>5942</v>
      </c>
      <c r="B161" s="15">
        <v>12269</v>
      </c>
      <c r="C161" s="15">
        <v>1</v>
      </c>
      <c r="D161" s="15" t="s">
        <v>4</v>
      </c>
      <c r="E161" s="20" t="s">
        <v>174</v>
      </c>
      <c r="F161" s="15">
        <v>4</v>
      </c>
      <c r="G161" s="15">
        <v>3</v>
      </c>
      <c r="H161" s="21">
        <v>4</v>
      </c>
      <c r="I161" s="15">
        <v>3</v>
      </c>
      <c r="J161" s="15">
        <v>3</v>
      </c>
      <c r="K161" s="21">
        <v>5</v>
      </c>
      <c r="L161" s="15">
        <v>2</v>
      </c>
      <c r="M161" s="15">
        <v>1</v>
      </c>
      <c r="N161" s="21">
        <v>3</v>
      </c>
      <c r="O161" s="15">
        <v>4</v>
      </c>
      <c r="P161" s="15">
        <v>3</v>
      </c>
      <c r="Q161" s="21">
        <v>4</v>
      </c>
      <c r="R161" s="15">
        <f t="shared" si="8"/>
        <v>3.6666666666666665</v>
      </c>
      <c r="S161" s="15">
        <f t="shared" si="9"/>
        <v>3.6666666666666665</v>
      </c>
      <c r="T161" s="15">
        <f t="shared" si="10"/>
        <v>2</v>
      </c>
      <c r="U161" s="15">
        <f t="shared" si="11"/>
        <v>3.6666666666666665</v>
      </c>
    </row>
    <row r="162" spans="1:21" ht="81" x14ac:dyDescent="0.3">
      <c r="A162" s="15">
        <v>5305</v>
      </c>
      <c r="B162" s="15">
        <v>13250</v>
      </c>
      <c r="C162" s="15">
        <v>1</v>
      </c>
      <c r="D162" s="15" t="s">
        <v>11</v>
      </c>
      <c r="E162" s="20" t="s">
        <v>175</v>
      </c>
      <c r="F162" s="15">
        <v>3</v>
      </c>
      <c r="G162" s="15">
        <v>3</v>
      </c>
      <c r="H162" s="21">
        <v>4</v>
      </c>
      <c r="I162" s="15">
        <v>4</v>
      </c>
      <c r="J162" s="15">
        <v>3</v>
      </c>
      <c r="K162" s="21">
        <v>5</v>
      </c>
      <c r="L162" s="15">
        <v>3</v>
      </c>
      <c r="M162" s="15">
        <v>1</v>
      </c>
      <c r="N162" s="21">
        <v>3</v>
      </c>
      <c r="O162" s="15">
        <v>4</v>
      </c>
      <c r="P162" s="15">
        <v>3</v>
      </c>
      <c r="Q162" s="21">
        <v>4</v>
      </c>
      <c r="R162" s="15">
        <f t="shared" si="8"/>
        <v>3.3333333333333335</v>
      </c>
      <c r="S162" s="15">
        <f t="shared" si="9"/>
        <v>4</v>
      </c>
      <c r="T162" s="15">
        <f t="shared" si="10"/>
        <v>2.3333333333333335</v>
      </c>
      <c r="U162" s="15">
        <f t="shared" si="11"/>
        <v>3.6666666666666665</v>
      </c>
    </row>
    <row r="163" spans="1:21" ht="40.5" x14ac:dyDescent="0.3">
      <c r="A163" s="15">
        <v>12253</v>
      </c>
      <c r="B163" s="15">
        <v>12095</v>
      </c>
      <c r="C163" s="15">
        <v>1</v>
      </c>
      <c r="D163" s="15" t="s">
        <v>4</v>
      </c>
      <c r="E163" s="20" t="s">
        <v>176</v>
      </c>
      <c r="F163" s="15">
        <v>3</v>
      </c>
      <c r="G163" s="15">
        <v>2</v>
      </c>
      <c r="H163" s="21">
        <v>3</v>
      </c>
      <c r="I163" s="15">
        <v>1</v>
      </c>
      <c r="J163" s="15">
        <v>1</v>
      </c>
      <c r="K163" s="21">
        <v>1</v>
      </c>
      <c r="L163" s="15">
        <v>2</v>
      </c>
      <c r="M163" s="15">
        <v>1</v>
      </c>
      <c r="N163" s="21">
        <v>3</v>
      </c>
      <c r="O163" s="15">
        <v>4</v>
      </c>
      <c r="P163" s="15">
        <v>2</v>
      </c>
      <c r="Q163" s="21">
        <v>3</v>
      </c>
      <c r="R163" s="15">
        <f t="shared" si="8"/>
        <v>2.6666666666666665</v>
      </c>
      <c r="S163" s="15">
        <f t="shared" si="9"/>
        <v>1</v>
      </c>
      <c r="T163" s="15">
        <f t="shared" si="10"/>
        <v>2</v>
      </c>
      <c r="U163" s="15">
        <f t="shared" si="11"/>
        <v>3</v>
      </c>
    </row>
    <row r="164" spans="1:21" ht="54" x14ac:dyDescent="0.3">
      <c r="A164" s="15">
        <v>9456</v>
      </c>
      <c r="B164" s="15">
        <v>13754</v>
      </c>
      <c r="C164" s="15">
        <v>1</v>
      </c>
      <c r="D164" s="15" t="s">
        <v>11</v>
      </c>
      <c r="E164" s="20" t="s">
        <v>177</v>
      </c>
      <c r="F164" s="15">
        <v>3</v>
      </c>
      <c r="G164" s="15">
        <v>3</v>
      </c>
      <c r="H164" s="21">
        <v>3</v>
      </c>
      <c r="I164" s="15">
        <v>3</v>
      </c>
      <c r="J164" s="15">
        <v>3</v>
      </c>
      <c r="K164" s="21">
        <v>3</v>
      </c>
      <c r="L164" s="15">
        <v>2</v>
      </c>
      <c r="M164" s="15">
        <v>1</v>
      </c>
      <c r="N164" s="21">
        <v>1</v>
      </c>
      <c r="O164" s="15">
        <v>3</v>
      </c>
      <c r="P164" s="15">
        <v>3</v>
      </c>
      <c r="Q164" s="21">
        <v>3</v>
      </c>
      <c r="R164" s="15">
        <f t="shared" si="8"/>
        <v>3</v>
      </c>
      <c r="S164" s="15">
        <f t="shared" si="9"/>
        <v>3</v>
      </c>
      <c r="T164" s="15">
        <f t="shared" si="10"/>
        <v>1.3333333333333333</v>
      </c>
      <c r="U164" s="15">
        <f t="shared" si="11"/>
        <v>3</v>
      </c>
    </row>
    <row r="165" spans="1:21" ht="54" x14ac:dyDescent="0.3">
      <c r="A165" s="15">
        <v>5749</v>
      </c>
      <c r="B165" s="15">
        <v>14643</v>
      </c>
      <c r="C165" s="15">
        <v>1</v>
      </c>
      <c r="D165" s="15" t="s">
        <v>4</v>
      </c>
      <c r="E165" s="20" t="s">
        <v>178</v>
      </c>
      <c r="F165" s="15">
        <v>4</v>
      </c>
      <c r="G165" s="15">
        <v>3</v>
      </c>
      <c r="H165" s="21">
        <v>3</v>
      </c>
      <c r="I165" s="15">
        <v>3</v>
      </c>
      <c r="J165" s="15">
        <v>3</v>
      </c>
      <c r="K165" s="21">
        <v>3</v>
      </c>
      <c r="L165" s="15">
        <v>2</v>
      </c>
      <c r="M165" s="15">
        <v>1</v>
      </c>
      <c r="N165" s="21">
        <v>3</v>
      </c>
      <c r="O165" s="15">
        <v>4</v>
      </c>
      <c r="P165" s="15">
        <v>3</v>
      </c>
      <c r="Q165" s="21">
        <v>3</v>
      </c>
      <c r="R165" s="15">
        <f t="shared" si="8"/>
        <v>3.3333333333333335</v>
      </c>
      <c r="S165" s="15">
        <f t="shared" si="9"/>
        <v>3</v>
      </c>
      <c r="T165" s="15">
        <f t="shared" si="10"/>
        <v>2</v>
      </c>
      <c r="U165" s="15">
        <f t="shared" si="11"/>
        <v>3.3333333333333335</v>
      </c>
    </row>
    <row r="166" spans="1:21" ht="67.5" x14ac:dyDescent="0.3">
      <c r="A166" s="15">
        <v>1211</v>
      </c>
      <c r="B166" s="15">
        <v>12413</v>
      </c>
      <c r="C166" s="15">
        <v>1</v>
      </c>
      <c r="D166" s="15" t="s">
        <v>4</v>
      </c>
      <c r="E166" s="20" t="s">
        <v>179</v>
      </c>
      <c r="F166" s="15">
        <v>4</v>
      </c>
      <c r="G166" s="15">
        <v>3</v>
      </c>
      <c r="H166" s="21">
        <v>4</v>
      </c>
      <c r="I166" s="15">
        <v>3</v>
      </c>
      <c r="J166" s="15">
        <v>3</v>
      </c>
      <c r="K166" s="21">
        <v>3</v>
      </c>
      <c r="L166" s="15">
        <v>2</v>
      </c>
      <c r="M166" s="15">
        <v>3</v>
      </c>
      <c r="N166" s="21">
        <v>3</v>
      </c>
      <c r="O166" s="15">
        <v>3</v>
      </c>
      <c r="P166" s="15">
        <v>3</v>
      </c>
      <c r="Q166" s="21">
        <v>4</v>
      </c>
      <c r="R166" s="15">
        <f t="shared" si="8"/>
        <v>3.6666666666666665</v>
      </c>
      <c r="S166" s="15">
        <f t="shared" si="9"/>
        <v>3</v>
      </c>
      <c r="T166" s="15">
        <f t="shared" si="10"/>
        <v>2.6666666666666665</v>
      </c>
      <c r="U166" s="15">
        <f t="shared" si="11"/>
        <v>3.3333333333333335</v>
      </c>
    </row>
    <row r="167" spans="1:21" ht="40.5" x14ac:dyDescent="0.3">
      <c r="A167" s="15">
        <v>1988</v>
      </c>
      <c r="B167" s="15">
        <v>13525</v>
      </c>
      <c r="C167" s="15">
        <v>1</v>
      </c>
      <c r="D167" s="15" t="s">
        <v>11</v>
      </c>
      <c r="E167" s="20" t="s">
        <v>180</v>
      </c>
      <c r="F167" s="15">
        <v>3</v>
      </c>
      <c r="G167" s="15">
        <v>2</v>
      </c>
      <c r="H167" s="21">
        <v>3</v>
      </c>
      <c r="I167" s="15">
        <v>3</v>
      </c>
      <c r="J167" s="15">
        <v>3</v>
      </c>
      <c r="K167" s="21">
        <v>3</v>
      </c>
      <c r="L167" s="15">
        <v>2</v>
      </c>
      <c r="M167" s="15">
        <v>1</v>
      </c>
      <c r="N167" s="21">
        <v>1</v>
      </c>
      <c r="O167" s="15">
        <v>3</v>
      </c>
      <c r="P167" s="15">
        <v>2</v>
      </c>
      <c r="Q167" s="21">
        <v>3</v>
      </c>
      <c r="R167" s="15">
        <f t="shared" si="8"/>
        <v>2.6666666666666665</v>
      </c>
      <c r="S167" s="15">
        <f t="shared" si="9"/>
        <v>3</v>
      </c>
      <c r="T167" s="15">
        <f t="shared" si="10"/>
        <v>1.3333333333333333</v>
      </c>
      <c r="U167" s="15">
        <f t="shared" si="11"/>
        <v>2.6666666666666665</v>
      </c>
    </row>
    <row r="168" spans="1:21" ht="40.5" x14ac:dyDescent="0.3">
      <c r="A168" s="15">
        <v>4629</v>
      </c>
      <c r="B168" s="15">
        <v>13041</v>
      </c>
      <c r="C168" s="15">
        <v>1</v>
      </c>
      <c r="D168" s="15" t="s">
        <v>11</v>
      </c>
      <c r="E168" s="20" t="s">
        <v>181</v>
      </c>
      <c r="F168" s="15">
        <v>3</v>
      </c>
      <c r="G168" s="15">
        <v>3</v>
      </c>
      <c r="H168" s="21">
        <v>3</v>
      </c>
      <c r="I168" s="15">
        <v>3</v>
      </c>
      <c r="J168" s="15">
        <v>3</v>
      </c>
      <c r="K168" s="21">
        <v>3</v>
      </c>
      <c r="L168" s="15">
        <v>3</v>
      </c>
      <c r="M168" s="15">
        <v>1</v>
      </c>
      <c r="N168" s="21">
        <v>3</v>
      </c>
      <c r="O168" s="15">
        <v>3</v>
      </c>
      <c r="P168" s="15">
        <v>3</v>
      </c>
      <c r="Q168" s="21">
        <v>3</v>
      </c>
      <c r="R168" s="15">
        <f t="shared" si="8"/>
        <v>3</v>
      </c>
      <c r="S168" s="15">
        <f t="shared" si="9"/>
        <v>3</v>
      </c>
      <c r="T168" s="15">
        <f t="shared" si="10"/>
        <v>2.3333333333333335</v>
      </c>
      <c r="U168" s="15">
        <f t="shared" si="11"/>
        <v>3</v>
      </c>
    </row>
    <row r="169" spans="1:21" ht="54" x14ac:dyDescent="0.3">
      <c r="A169" s="15">
        <v>3895</v>
      </c>
      <c r="B169" s="15">
        <v>14407</v>
      </c>
      <c r="C169" s="15">
        <v>1</v>
      </c>
      <c r="D169" s="15" t="s">
        <v>4</v>
      </c>
      <c r="E169" s="20" t="s">
        <v>182</v>
      </c>
      <c r="F169" s="15">
        <v>4</v>
      </c>
      <c r="G169" s="15">
        <v>3</v>
      </c>
      <c r="H169" s="21">
        <v>3</v>
      </c>
      <c r="I169" s="15">
        <v>3</v>
      </c>
      <c r="J169" s="15">
        <v>3</v>
      </c>
      <c r="K169" s="21">
        <v>3</v>
      </c>
      <c r="L169" s="15">
        <v>2</v>
      </c>
      <c r="M169" s="15">
        <v>3</v>
      </c>
      <c r="N169" s="21">
        <v>1</v>
      </c>
      <c r="O169" s="15">
        <v>3</v>
      </c>
      <c r="P169" s="15">
        <v>3</v>
      </c>
      <c r="Q169" s="21">
        <v>3</v>
      </c>
      <c r="R169" s="15">
        <f t="shared" si="8"/>
        <v>3.3333333333333335</v>
      </c>
      <c r="S169" s="15">
        <f t="shared" si="9"/>
        <v>3</v>
      </c>
      <c r="T169" s="15">
        <f t="shared" si="10"/>
        <v>2</v>
      </c>
      <c r="U169" s="15">
        <f t="shared" si="11"/>
        <v>3</v>
      </c>
    </row>
    <row r="170" spans="1:21" ht="54" x14ac:dyDescent="0.3">
      <c r="A170" s="15">
        <v>10863</v>
      </c>
      <c r="B170" s="15">
        <v>12466</v>
      </c>
      <c r="C170" s="15">
        <v>1</v>
      </c>
      <c r="D170" s="15" t="s">
        <v>4</v>
      </c>
      <c r="E170" s="20" t="s">
        <v>183</v>
      </c>
      <c r="F170" s="15">
        <v>3</v>
      </c>
      <c r="G170" s="15">
        <v>3</v>
      </c>
      <c r="H170" s="21">
        <v>4</v>
      </c>
      <c r="I170" s="15">
        <v>3</v>
      </c>
      <c r="J170" s="15">
        <v>1</v>
      </c>
      <c r="K170" s="21">
        <v>3</v>
      </c>
      <c r="L170" s="15">
        <v>2</v>
      </c>
      <c r="M170" s="15">
        <v>1</v>
      </c>
      <c r="N170" s="21">
        <v>3</v>
      </c>
      <c r="O170" s="15">
        <v>4</v>
      </c>
      <c r="P170" s="15">
        <v>3</v>
      </c>
      <c r="Q170" s="21">
        <v>4</v>
      </c>
      <c r="R170" s="15">
        <f t="shared" si="8"/>
        <v>3.3333333333333335</v>
      </c>
      <c r="S170" s="15">
        <f t="shared" si="9"/>
        <v>2.3333333333333335</v>
      </c>
      <c r="T170" s="15">
        <f t="shared" si="10"/>
        <v>2</v>
      </c>
      <c r="U170" s="15">
        <f t="shared" si="11"/>
        <v>3.6666666666666665</v>
      </c>
    </row>
    <row r="171" spans="1:21" ht="27" x14ac:dyDescent="0.3">
      <c r="A171" s="15">
        <v>16630</v>
      </c>
      <c r="B171" s="15">
        <v>11259</v>
      </c>
      <c r="C171" s="15">
        <v>1</v>
      </c>
      <c r="D171" s="15" t="s">
        <v>4</v>
      </c>
      <c r="E171" s="20" t="s">
        <v>184</v>
      </c>
      <c r="F171" s="15">
        <v>3</v>
      </c>
      <c r="G171" s="15">
        <v>2</v>
      </c>
      <c r="H171" s="21">
        <v>3</v>
      </c>
      <c r="I171" s="15">
        <v>3</v>
      </c>
      <c r="J171" s="15">
        <v>3</v>
      </c>
      <c r="K171" s="21">
        <v>3</v>
      </c>
      <c r="L171" s="15">
        <v>2</v>
      </c>
      <c r="M171" s="15">
        <v>1</v>
      </c>
      <c r="N171" s="21">
        <v>3</v>
      </c>
      <c r="O171" s="15">
        <v>3</v>
      </c>
      <c r="P171" s="15">
        <v>2</v>
      </c>
      <c r="Q171" s="21">
        <v>3</v>
      </c>
      <c r="R171" s="15">
        <f t="shared" si="8"/>
        <v>2.6666666666666665</v>
      </c>
      <c r="S171" s="15">
        <f t="shared" si="9"/>
        <v>3</v>
      </c>
      <c r="T171" s="15">
        <f t="shared" si="10"/>
        <v>2</v>
      </c>
      <c r="U171" s="15">
        <f t="shared" si="11"/>
        <v>2.6666666666666665</v>
      </c>
    </row>
    <row r="172" spans="1:21" ht="67.5" x14ac:dyDescent="0.3">
      <c r="A172" s="15">
        <v>3521</v>
      </c>
      <c r="B172" s="15">
        <v>14428</v>
      </c>
      <c r="C172" s="15">
        <v>1</v>
      </c>
      <c r="D172" s="15" t="s">
        <v>4</v>
      </c>
      <c r="E172" s="20" t="s">
        <v>185</v>
      </c>
      <c r="F172" s="15">
        <v>4</v>
      </c>
      <c r="G172" s="15">
        <v>3</v>
      </c>
      <c r="H172" s="21">
        <v>3</v>
      </c>
      <c r="I172" s="15">
        <v>4</v>
      </c>
      <c r="J172" s="15">
        <v>3</v>
      </c>
      <c r="K172" s="21">
        <v>3</v>
      </c>
      <c r="L172" s="15">
        <v>2</v>
      </c>
      <c r="M172" s="15">
        <v>1</v>
      </c>
      <c r="N172" s="21">
        <v>3</v>
      </c>
      <c r="O172" s="15">
        <v>4</v>
      </c>
      <c r="P172" s="15">
        <v>3</v>
      </c>
      <c r="Q172" s="21">
        <v>3</v>
      </c>
      <c r="R172" s="15">
        <f t="shared" si="8"/>
        <v>3.3333333333333335</v>
      </c>
      <c r="S172" s="15">
        <f t="shared" si="9"/>
        <v>3.3333333333333335</v>
      </c>
      <c r="T172" s="15">
        <f t="shared" si="10"/>
        <v>2</v>
      </c>
      <c r="U172" s="15">
        <f t="shared" si="11"/>
        <v>3.3333333333333335</v>
      </c>
    </row>
    <row r="173" spans="1:21" ht="94.5" x14ac:dyDescent="0.3">
      <c r="A173" s="15">
        <v>6757</v>
      </c>
      <c r="B173" s="15">
        <v>14357</v>
      </c>
      <c r="C173" s="15">
        <v>1</v>
      </c>
      <c r="D173" s="15" t="s">
        <v>4</v>
      </c>
      <c r="E173" s="20" t="s">
        <v>186</v>
      </c>
      <c r="F173" s="15">
        <v>4</v>
      </c>
      <c r="G173" s="15">
        <v>4</v>
      </c>
      <c r="H173" s="21">
        <v>4</v>
      </c>
      <c r="I173" s="15">
        <v>5</v>
      </c>
      <c r="J173" s="15">
        <v>3</v>
      </c>
      <c r="K173" s="21">
        <v>5</v>
      </c>
      <c r="L173" s="15">
        <v>2</v>
      </c>
      <c r="M173" s="15">
        <v>1</v>
      </c>
      <c r="N173" s="21">
        <v>3</v>
      </c>
      <c r="O173" s="15">
        <v>4</v>
      </c>
      <c r="P173" s="15">
        <v>4</v>
      </c>
      <c r="Q173" s="21">
        <v>4</v>
      </c>
      <c r="R173" s="15">
        <f t="shared" si="8"/>
        <v>4</v>
      </c>
      <c r="S173" s="15">
        <f t="shared" si="9"/>
        <v>4.333333333333333</v>
      </c>
      <c r="T173" s="15">
        <f t="shared" si="10"/>
        <v>2</v>
      </c>
      <c r="U173" s="15">
        <f t="shared" si="11"/>
        <v>4</v>
      </c>
    </row>
    <row r="174" spans="1:21" ht="54" x14ac:dyDescent="0.3">
      <c r="A174" s="15">
        <v>12592</v>
      </c>
      <c r="B174" s="15">
        <v>13033</v>
      </c>
      <c r="C174" s="15">
        <v>1</v>
      </c>
      <c r="D174" s="15" t="s">
        <v>11</v>
      </c>
      <c r="E174" s="20" t="s">
        <v>187</v>
      </c>
      <c r="F174" s="15">
        <v>4</v>
      </c>
      <c r="G174" s="15">
        <v>3</v>
      </c>
      <c r="H174" s="21">
        <v>4</v>
      </c>
      <c r="I174" s="15">
        <v>3</v>
      </c>
      <c r="J174" s="15">
        <v>3</v>
      </c>
      <c r="K174" s="21">
        <v>3</v>
      </c>
      <c r="L174" s="15">
        <v>2</v>
      </c>
      <c r="M174" s="15">
        <v>1</v>
      </c>
      <c r="N174" s="21">
        <v>3</v>
      </c>
      <c r="O174" s="15">
        <v>4</v>
      </c>
      <c r="P174" s="15">
        <v>3</v>
      </c>
      <c r="Q174" s="21">
        <v>4</v>
      </c>
      <c r="R174" s="15">
        <f t="shared" si="8"/>
        <v>3.6666666666666665</v>
      </c>
      <c r="S174" s="15">
        <f t="shared" si="9"/>
        <v>3</v>
      </c>
      <c r="T174" s="15">
        <f t="shared" si="10"/>
        <v>2</v>
      </c>
      <c r="U174" s="15">
        <f t="shared" si="11"/>
        <v>3.6666666666666665</v>
      </c>
    </row>
    <row r="175" spans="1:21" ht="148.5" x14ac:dyDescent="0.3">
      <c r="A175" s="15">
        <v>9643</v>
      </c>
      <c r="B175" s="15">
        <v>11061</v>
      </c>
      <c r="C175" s="15">
        <v>1</v>
      </c>
      <c r="D175" s="15" t="s">
        <v>4</v>
      </c>
      <c r="E175" s="20" t="s">
        <v>188</v>
      </c>
      <c r="F175" s="15">
        <v>4</v>
      </c>
      <c r="G175" s="15">
        <v>4</v>
      </c>
      <c r="H175" s="21">
        <v>4</v>
      </c>
      <c r="I175" s="15">
        <v>5</v>
      </c>
      <c r="J175" s="15">
        <v>3</v>
      </c>
      <c r="K175" s="21">
        <v>5</v>
      </c>
      <c r="L175" s="15">
        <v>4</v>
      </c>
      <c r="M175" s="15">
        <v>3</v>
      </c>
      <c r="N175" s="21">
        <v>3</v>
      </c>
      <c r="O175" s="15">
        <v>5</v>
      </c>
      <c r="P175" s="15">
        <v>4</v>
      </c>
      <c r="Q175" s="21">
        <v>4</v>
      </c>
      <c r="R175" s="15">
        <f t="shared" si="8"/>
        <v>4</v>
      </c>
      <c r="S175" s="15">
        <f t="shared" si="9"/>
        <v>4.333333333333333</v>
      </c>
      <c r="T175" s="15">
        <f t="shared" si="10"/>
        <v>3.3333333333333335</v>
      </c>
      <c r="U175" s="15">
        <f t="shared" si="11"/>
        <v>4.333333333333333</v>
      </c>
    </row>
    <row r="176" spans="1:21" ht="67.5" x14ac:dyDescent="0.3">
      <c r="A176" s="15">
        <v>13960</v>
      </c>
      <c r="B176" s="15">
        <v>15170</v>
      </c>
      <c r="C176" s="15">
        <v>1</v>
      </c>
      <c r="D176" s="15" t="s">
        <v>4</v>
      </c>
      <c r="E176" s="20" t="s">
        <v>189</v>
      </c>
      <c r="F176" s="15">
        <v>3</v>
      </c>
      <c r="G176" s="15">
        <v>3</v>
      </c>
      <c r="H176" s="21">
        <v>4</v>
      </c>
      <c r="I176" s="15">
        <v>3</v>
      </c>
      <c r="J176" s="15">
        <v>3</v>
      </c>
      <c r="K176" s="21">
        <v>4</v>
      </c>
      <c r="L176" s="15">
        <v>3</v>
      </c>
      <c r="M176" s="15">
        <v>3</v>
      </c>
      <c r="N176" s="21">
        <v>4</v>
      </c>
      <c r="O176" s="15">
        <v>4</v>
      </c>
      <c r="P176" s="15">
        <v>3</v>
      </c>
      <c r="Q176" s="21">
        <v>4</v>
      </c>
      <c r="R176" s="15">
        <f t="shared" si="8"/>
        <v>3.3333333333333335</v>
      </c>
      <c r="S176" s="15">
        <f t="shared" si="9"/>
        <v>3.3333333333333335</v>
      </c>
      <c r="T176" s="15">
        <f t="shared" si="10"/>
        <v>3.3333333333333335</v>
      </c>
      <c r="U176" s="15">
        <f t="shared" si="11"/>
        <v>3.6666666666666665</v>
      </c>
    </row>
    <row r="177" spans="1:21" ht="67.5" x14ac:dyDescent="0.3">
      <c r="A177" s="15">
        <v>15127</v>
      </c>
      <c r="B177" s="15">
        <v>13560</v>
      </c>
      <c r="C177" s="15">
        <v>1</v>
      </c>
      <c r="D177" s="15" t="s">
        <v>11</v>
      </c>
      <c r="E177" s="20" t="s">
        <v>190</v>
      </c>
      <c r="F177" s="15">
        <v>3</v>
      </c>
      <c r="G177" s="15">
        <v>3</v>
      </c>
      <c r="H177" s="21">
        <v>3</v>
      </c>
      <c r="I177" s="15">
        <v>3</v>
      </c>
      <c r="J177" s="15">
        <v>3</v>
      </c>
      <c r="K177" s="21">
        <v>3</v>
      </c>
      <c r="L177" s="15">
        <v>2</v>
      </c>
      <c r="M177" s="15">
        <v>1</v>
      </c>
      <c r="N177" s="21">
        <v>2</v>
      </c>
      <c r="O177" s="15">
        <v>4</v>
      </c>
      <c r="P177" s="15">
        <v>3</v>
      </c>
      <c r="Q177" s="21">
        <v>3</v>
      </c>
      <c r="R177" s="15">
        <f t="shared" si="8"/>
        <v>3</v>
      </c>
      <c r="S177" s="15">
        <f t="shared" si="9"/>
        <v>3</v>
      </c>
      <c r="T177" s="15">
        <f t="shared" si="10"/>
        <v>1.6666666666666667</v>
      </c>
      <c r="U177" s="15">
        <f t="shared" si="11"/>
        <v>3.3333333333333335</v>
      </c>
    </row>
    <row r="178" spans="1:21" ht="67.5" x14ac:dyDescent="0.3">
      <c r="A178" s="15">
        <v>16718</v>
      </c>
      <c r="B178" s="15">
        <v>10979</v>
      </c>
      <c r="C178" s="15">
        <v>1</v>
      </c>
      <c r="D178" s="15" t="s">
        <v>191</v>
      </c>
      <c r="E178" s="20" t="s">
        <v>192</v>
      </c>
      <c r="F178" s="15">
        <v>4</v>
      </c>
      <c r="G178" s="15">
        <v>4</v>
      </c>
      <c r="H178" s="21">
        <v>5</v>
      </c>
      <c r="I178" s="15">
        <v>4</v>
      </c>
      <c r="J178" s="15">
        <v>3</v>
      </c>
      <c r="K178" s="21">
        <v>4</v>
      </c>
      <c r="L178" s="15">
        <v>2</v>
      </c>
      <c r="M178" s="15">
        <v>1</v>
      </c>
      <c r="N178" s="21">
        <v>4</v>
      </c>
      <c r="O178" s="15">
        <v>5</v>
      </c>
      <c r="P178" s="15">
        <v>3</v>
      </c>
      <c r="Q178" s="21">
        <v>5</v>
      </c>
      <c r="R178" s="15">
        <f t="shared" si="8"/>
        <v>4.333333333333333</v>
      </c>
      <c r="S178" s="15">
        <f t="shared" si="9"/>
        <v>3.6666666666666665</v>
      </c>
      <c r="T178" s="15">
        <f t="shared" si="10"/>
        <v>2.3333333333333335</v>
      </c>
      <c r="U178" s="15">
        <f t="shared" si="11"/>
        <v>4.333333333333333</v>
      </c>
    </row>
    <row r="179" spans="1:21" ht="54" x14ac:dyDescent="0.3">
      <c r="A179" s="15">
        <v>13815</v>
      </c>
      <c r="B179" s="15">
        <v>13826</v>
      </c>
      <c r="C179" s="15">
        <v>1</v>
      </c>
      <c r="D179" s="15" t="s">
        <v>11</v>
      </c>
      <c r="E179" s="20" t="s">
        <v>193</v>
      </c>
      <c r="F179" s="15">
        <v>3</v>
      </c>
      <c r="G179" s="15">
        <v>3</v>
      </c>
      <c r="H179" s="21">
        <v>4</v>
      </c>
      <c r="I179" s="15">
        <v>4</v>
      </c>
      <c r="J179" s="15">
        <v>3</v>
      </c>
      <c r="K179" s="21">
        <v>3</v>
      </c>
      <c r="L179" s="15">
        <v>3</v>
      </c>
      <c r="M179" s="15">
        <v>1</v>
      </c>
      <c r="N179" s="21">
        <v>3</v>
      </c>
      <c r="O179" s="15">
        <v>4</v>
      </c>
      <c r="P179" s="15">
        <v>3</v>
      </c>
      <c r="Q179" s="21">
        <v>4</v>
      </c>
      <c r="R179" s="15">
        <f t="shared" si="8"/>
        <v>3.3333333333333335</v>
      </c>
      <c r="S179" s="15">
        <f t="shared" si="9"/>
        <v>3.3333333333333335</v>
      </c>
      <c r="T179" s="15">
        <f t="shared" si="10"/>
        <v>2.3333333333333335</v>
      </c>
      <c r="U179" s="15">
        <f t="shared" si="11"/>
        <v>3.6666666666666665</v>
      </c>
    </row>
    <row r="180" spans="1:21" ht="67.5" x14ac:dyDescent="0.3">
      <c r="A180" s="15">
        <v>3552</v>
      </c>
      <c r="B180" s="15">
        <v>14435</v>
      </c>
      <c r="C180" s="15">
        <v>1</v>
      </c>
      <c r="D180" s="15" t="s">
        <v>4</v>
      </c>
      <c r="E180" s="20" t="s">
        <v>194</v>
      </c>
      <c r="F180" s="15">
        <v>4</v>
      </c>
      <c r="G180" s="15">
        <v>4</v>
      </c>
      <c r="H180" s="21">
        <v>4</v>
      </c>
      <c r="I180" s="15">
        <v>3</v>
      </c>
      <c r="J180" s="15">
        <v>3</v>
      </c>
      <c r="K180" s="21">
        <v>3</v>
      </c>
      <c r="L180" s="15">
        <v>2</v>
      </c>
      <c r="M180" s="15">
        <v>1</v>
      </c>
      <c r="N180" s="21">
        <v>3</v>
      </c>
      <c r="O180" s="15">
        <v>4</v>
      </c>
      <c r="P180" s="15">
        <v>3</v>
      </c>
      <c r="Q180" s="21">
        <v>4</v>
      </c>
      <c r="R180" s="15">
        <f t="shared" si="8"/>
        <v>4</v>
      </c>
      <c r="S180" s="15">
        <f t="shared" si="9"/>
        <v>3</v>
      </c>
      <c r="T180" s="15">
        <f t="shared" si="10"/>
        <v>2</v>
      </c>
      <c r="U180" s="15">
        <f t="shared" si="11"/>
        <v>3.6666666666666665</v>
      </c>
    </row>
    <row r="181" spans="1:21" ht="27" x14ac:dyDescent="0.3">
      <c r="A181" s="15">
        <v>8859</v>
      </c>
      <c r="B181" s="15">
        <v>10382</v>
      </c>
      <c r="C181" s="15">
        <v>1</v>
      </c>
      <c r="D181" s="15" t="s">
        <v>4</v>
      </c>
      <c r="E181" s="20" t="s">
        <v>195</v>
      </c>
      <c r="F181" s="15">
        <v>3</v>
      </c>
      <c r="G181" s="15">
        <v>3</v>
      </c>
      <c r="H181" s="21">
        <v>3</v>
      </c>
      <c r="I181" s="15">
        <v>3</v>
      </c>
      <c r="J181" s="15">
        <v>3</v>
      </c>
      <c r="K181" s="21">
        <v>3</v>
      </c>
      <c r="L181" s="15">
        <v>2</v>
      </c>
      <c r="M181" s="15">
        <v>3</v>
      </c>
      <c r="N181" s="21">
        <v>1</v>
      </c>
      <c r="O181" s="15">
        <v>3</v>
      </c>
      <c r="P181" s="15">
        <v>3</v>
      </c>
      <c r="Q181" s="21">
        <v>3</v>
      </c>
      <c r="R181" s="15">
        <f t="shared" si="8"/>
        <v>3</v>
      </c>
      <c r="S181" s="15">
        <f t="shared" si="9"/>
        <v>3</v>
      </c>
      <c r="T181" s="15">
        <f t="shared" si="10"/>
        <v>2</v>
      </c>
      <c r="U181" s="15">
        <f t="shared" si="11"/>
        <v>3</v>
      </c>
    </row>
    <row r="182" spans="1:21" ht="54" x14ac:dyDescent="0.3">
      <c r="A182" s="15">
        <v>4695</v>
      </c>
      <c r="B182" s="15">
        <v>12968</v>
      </c>
      <c r="C182" s="15">
        <v>1</v>
      </c>
      <c r="D182" s="15" t="s">
        <v>13</v>
      </c>
      <c r="E182" s="20" t="s">
        <v>196</v>
      </c>
      <c r="F182" s="15">
        <v>3</v>
      </c>
      <c r="G182" s="15">
        <v>3</v>
      </c>
      <c r="H182" s="21">
        <v>3</v>
      </c>
      <c r="I182" s="15">
        <v>3</v>
      </c>
      <c r="J182" s="15">
        <v>3</v>
      </c>
      <c r="K182" s="21">
        <v>3</v>
      </c>
      <c r="L182" s="15">
        <v>2</v>
      </c>
      <c r="M182" s="15">
        <v>1</v>
      </c>
      <c r="N182" s="21">
        <v>3</v>
      </c>
      <c r="O182" s="15">
        <v>4</v>
      </c>
      <c r="P182" s="15">
        <v>3</v>
      </c>
      <c r="Q182" s="21">
        <v>3</v>
      </c>
      <c r="R182" s="15">
        <f t="shared" si="8"/>
        <v>3</v>
      </c>
      <c r="S182" s="15">
        <f t="shared" si="9"/>
        <v>3</v>
      </c>
      <c r="T182" s="15">
        <f t="shared" si="10"/>
        <v>2</v>
      </c>
      <c r="U182" s="15">
        <f t="shared" si="11"/>
        <v>3.3333333333333335</v>
      </c>
    </row>
    <row r="183" spans="1:21" ht="40.5" x14ac:dyDescent="0.3">
      <c r="A183" s="15">
        <v>12735</v>
      </c>
      <c r="B183" s="15">
        <v>14861</v>
      </c>
      <c r="C183" s="15">
        <v>1</v>
      </c>
      <c r="D183" s="15" t="s">
        <v>4</v>
      </c>
      <c r="E183" s="20" t="s">
        <v>197</v>
      </c>
      <c r="F183" s="15">
        <v>3</v>
      </c>
      <c r="G183" s="15">
        <v>3</v>
      </c>
      <c r="H183" s="21">
        <v>4</v>
      </c>
      <c r="I183" s="15">
        <v>3</v>
      </c>
      <c r="J183" s="15">
        <v>1</v>
      </c>
      <c r="K183" s="21">
        <v>3</v>
      </c>
      <c r="L183" s="15">
        <v>2</v>
      </c>
      <c r="M183" s="15">
        <v>1</v>
      </c>
      <c r="N183" s="21">
        <v>2</v>
      </c>
      <c r="O183" s="15">
        <v>3</v>
      </c>
      <c r="P183" s="15">
        <v>3</v>
      </c>
      <c r="Q183" s="21">
        <v>4</v>
      </c>
      <c r="R183" s="15">
        <f t="shared" si="8"/>
        <v>3.3333333333333335</v>
      </c>
      <c r="S183" s="15">
        <f t="shared" si="9"/>
        <v>2.3333333333333335</v>
      </c>
      <c r="T183" s="15">
        <f t="shared" si="10"/>
        <v>1.6666666666666667</v>
      </c>
      <c r="U183" s="15">
        <f t="shared" si="11"/>
        <v>3.3333333333333335</v>
      </c>
    </row>
    <row r="184" spans="1:21" ht="27" x14ac:dyDescent="0.3">
      <c r="A184" s="15">
        <v>2488</v>
      </c>
      <c r="B184" s="15">
        <v>10068</v>
      </c>
      <c r="C184" s="15">
        <v>1</v>
      </c>
      <c r="D184" s="15" t="s">
        <v>4</v>
      </c>
      <c r="E184" s="20" t="s">
        <v>198</v>
      </c>
      <c r="F184" s="15">
        <v>3</v>
      </c>
      <c r="G184" s="15">
        <v>3</v>
      </c>
      <c r="H184" s="21">
        <v>4</v>
      </c>
      <c r="I184" s="15">
        <v>3</v>
      </c>
      <c r="J184" s="15">
        <v>1</v>
      </c>
      <c r="K184" s="21">
        <v>3</v>
      </c>
      <c r="L184" s="15">
        <v>2</v>
      </c>
      <c r="M184" s="15">
        <v>1</v>
      </c>
      <c r="N184" s="21">
        <v>3</v>
      </c>
      <c r="O184" s="15">
        <v>3</v>
      </c>
      <c r="P184" s="15">
        <v>3</v>
      </c>
      <c r="Q184" s="21">
        <v>4</v>
      </c>
      <c r="R184" s="15">
        <f t="shared" si="8"/>
        <v>3.3333333333333335</v>
      </c>
      <c r="S184" s="15">
        <f t="shared" si="9"/>
        <v>2.3333333333333335</v>
      </c>
      <c r="T184" s="15">
        <f t="shared" si="10"/>
        <v>2</v>
      </c>
      <c r="U184" s="15">
        <f t="shared" si="11"/>
        <v>3.3333333333333335</v>
      </c>
    </row>
    <row r="185" spans="1:21" ht="94.5" x14ac:dyDescent="0.3">
      <c r="A185" s="15">
        <v>12060</v>
      </c>
      <c r="B185" s="15">
        <v>11978</v>
      </c>
      <c r="C185" s="15">
        <v>1</v>
      </c>
      <c r="D185" s="15" t="s">
        <v>4</v>
      </c>
      <c r="E185" s="20" t="s">
        <v>199</v>
      </c>
      <c r="F185" s="15">
        <v>4</v>
      </c>
      <c r="G185" s="15">
        <v>4</v>
      </c>
      <c r="H185" s="21">
        <v>4</v>
      </c>
      <c r="I185" s="15">
        <v>4</v>
      </c>
      <c r="J185" s="15">
        <v>3</v>
      </c>
      <c r="K185" s="21">
        <v>5</v>
      </c>
      <c r="L185" s="15">
        <v>2</v>
      </c>
      <c r="M185" s="15">
        <v>1</v>
      </c>
      <c r="N185" s="21">
        <v>3</v>
      </c>
      <c r="O185" s="15">
        <v>4</v>
      </c>
      <c r="P185" s="15">
        <v>4</v>
      </c>
      <c r="Q185" s="21">
        <v>4</v>
      </c>
      <c r="R185" s="15">
        <f t="shared" si="8"/>
        <v>4</v>
      </c>
      <c r="S185" s="15">
        <f t="shared" si="9"/>
        <v>4</v>
      </c>
      <c r="T185" s="15">
        <f t="shared" si="10"/>
        <v>2</v>
      </c>
      <c r="U185" s="15">
        <f t="shared" si="11"/>
        <v>4</v>
      </c>
    </row>
    <row r="186" spans="1:21" ht="54" x14ac:dyDescent="0.3">
      <c r="A186" s="15">
        <v>14244</v>
      </c>
      <c r="B186" s="15">
        <v>12286</v>
      </c>
      <c r="C186" s="15">
        <v>1</v>
      </c>
      <c r="D186" s="15" t="s">
        <v>4</v>
      </c>
      <c r="E186" s="20" t="s">
        <v>200</v>
      </c>
      <c r="F186" s="15">
        <v>3</v>
      </c>
      <c r="G186" s="15">
        <v>3</v>
      </c>
      <c r="H186" s="21">
        <v>3</v>
      </c>
      <c r="I186" s="15">
        <v>4</v>
      </c>
      <c r="J186" s="15">
        <v>3</v>
      </c>
      <c r="K186" s="21">
        <v>3</v>
      </c>
      <c r="L186" s="15">
        <v>2</v>
      </c>
      <c r="M186" s="15">
        <v>1</v>
      </c>
      <c r="N186" s="21">
        <v>3</v>
      </c>
      <c r="O186" s="15">
        <v>4</v>
      </c>
      <c r="P186" s="15">
        <v>3</v>
      </c>
      <c r="Q186" s="21">
        <v>3</v>
      </c>
      <c r="R186" s="15">
        <f t="shared" si="8"/>
        <v>3</v>
      </c>
      <c r="S186" s="15">
        <f t="shared" si="9"/>
        <v>3.3333333333333335</v>
      </c>
      <c r="T186" s="15">
        <f t="shared" si="10"/>
        <v>2</v>
      </c>
      <c r="U186" s="15">
        <f t="shared" si="11"/>
        <v>3.3333333333333335</v>
      </c>
    </row>
    <row r="187" spans="1:21" ht="54" x14ac:dyDescent="0.3">
      <c r="A187" s="15">
        <v>7315</v>
      </c>
      <c r="B187" s="15">
        <v>13043</v>
      </c>
      <c r="C187" s="15">
        <v>1</v>
      </c>
      <c r="D187" s="15" t="s">
        <v>11</v>
      </c>
      <c r="E187" s="20" t="s">
        <v>201</v>
      </c>
      <c r="F187" s="15">
        <v>4</v>
      </c>
      <c r="G187" s="15">
        <v>3</v>
      </c>
      <c r="H187" s="21">
        <v>3</v>
      </c>
      <c r="I187" s="15">
        <v>3</v>
      </c>
      <c r="J187" s="15">
        <v>3</v>
      </c>
      <c r="K187" s="21">
        <v>3</v>
      </c>
      <c r="L187" s="15">
        <v>2</v>
      </c>
      <c r="M187" s="15">
        <v>1</v>
      </c>
      <c r="N187" s="21">
        <v>3</v>
      </c>
      <c r="O187" s="15">
        <v>4</v>
      </c>
      <c r="P187" s="15">
        <v>3</v>
      </c>
      <c r="Q187" s="21">
        <v>3</v>
      </c>
      <c r="R187" s="15">
        <f t="shared" si="8"/>
        <v>3.3333333333333335</v>
      </c>
      <c r="S187" s="15">
        <f t="shared" si="9"/>
        <v>3</v>
      </c>
      <c r="T187" s="15">
        <f t="shared" si="10"/>
        <v>2</v>
      </c>
      <c r="U187" s="15">
        <f t="shared" si="11"/>
        <v>3.3333333333333335</v>
      </c>
    </row>
    <row r="188" spans="1:21" ht="40.5" x14ac:dyDescent="0.3">
      <c r="A188" s="15">
        <v>6144</v>
      </c>
      <c r="B188" s="15">
        <v>12041</v>
      </c>
      <c r="C188" s="15">
        <v>1</v>
      </c>
      <c r="D188" s="15" t="s">
        <v>4</v>
      </c>
      <c r="E188" s="20" t="s">
        <v>202</v>
      </c>
      <c r="F188" s="15">
        <v>3</v>
      </c>
      <c r="G188" s="15">
        <v>3</v>
      </c>
      <c r="H188" s="21">
        <v>3</v>
      </c>
      <c r="I188" s="15">
        <v>3</v>
      </c>
      <c r="J188" s="15">
        <v>1</v>
      </c>
      <c r="K188" s="21">
        <v>3</v>
      </c>
      <c r="L188" s="15">
        <v>2</v>
      </c>
      <c r="M188" s="15">
        <v>1</v>
      </c>
      <c r="N188" s="21">
        <v>1</v>
      </c>
      <c r="O188" s="15">
        <v>3</v>
      </c>
      <c r="P188" s="15">
        <v>3</v>
      </c>
      <c r="Q188" s="21">
        <v>3</v>
      </c>
      <c r="R188" s="15">
        <f t="shared" si="8"/>
        <v>3</v>
      </c>
      <c r="S188" s="15">
        <f t="shared" si="9"/>
        <v>2.3333333333333335</v>
      </c>
      <c r="T188" s="15">
        <f t="shared" si="10"/>
        <v>1.3333333333333333</v>
      </c>
      <c r="U188" s="15">
        <f t="shared" si="11"/>
        <v>3</v>
      </c>
    </row>
    <row r="189" spans="1:21" ht="54" x14ac:dyDescent="0.3">
      <c r="A189" s="15">
        <v>1574</v>
      </c>
      <c r="B189" s="15">
        <v>11306</v>
      </c>
      <c r="C189" s="15">
        <v>1</v>
      </c>
      <c r="D189" s="15" t="s">
        <v>191</v>
      </c>
      <c r="E189" s="20" t="s">
        <v>203</v>
      </c>
      <c r="F189" s="15">
        <v>4</v>
      </c>
      <c r="G189" s="15">
        <v>3</v>
      </c>
      <c r="H189" s="21">
        <v>3</v>
      </c>
      <c r="I189" s="15">
        <v>3</v>
      </c>
      <c r="J189" s="15">
        <v>3</v>
      </c>
      <c r="K189" s="21">
        <v>3</v>
      </c>
      <c r="L189" s="15">
        <v>2</v>
      </c>
      <c r="M189" s="15">
        <v>1</v>
      </c>
      <c r="N189" s="21">
        <v>3</v>
      </c>
      <c r="O189" s="15">
        <v>5</v>
      </c>
      <c r="P189" s="15">
        <v>3</v>
      </c>
      <c r="Q189" s="21">
        <v>3</v>
      </c>
      <c r="R189" s="15">
        <f t="shared" si="8"/>
        <v>3.3333333333333335</v>
      </c>
      <c r="S189" s="15">
        <f t="shared" si="9"/>
        <v>3</v>
      </c>
      <c r="T189" s="15">
        <f t="shared" si="10"/>
        <v>2</v>
      </c>
      <c r="U189" s="15">
        <f t="shared" si="11"/>
        <v>3.6666666666666665</v>
      </c>
    </row>
    <row r="190" spans="1:21" ht="94.5" x14ac:dyDescent="0.3">
      <c r="A190" s="15">
        <v>8975</v>
      </c>
      <c r="B190" s="15">
        <v>13505</v>
      </c>
      <c r="C190" s="15">
        <v>1</v>
      </c>
      <c r="D190" s="15" t="s">
        <v>11</v>
      </c>
      <c r="E190" s="20" t="s">
        <v>204</v>
      </c>
      <c r="F190" s="15">
        <v>4</v>
      </c>
      <c r="G190" s="15">
        <v>4</v>
      </c>
      <c r="H190" s="21">
        <v>3</v>
      </c>
      <c r="I190" s="15">
        <v>5</v>
      </c>
      <c r="J190" s="15">
        <v>3</v>
      </c>
      <c r="K190" s="21">
        <v>5</v>
      </c>
      <c r="L190" s="15">
        <v>2</v>
      </c>
      <c r="M190" s="15">
        <v>1</v>
      </c>
      <c r="N190" s="21">
        <v>3</v>
      </c>
      <c r="O190" s="15">
        <v>4</v>
      </c>
      <c r="P190" s="15">
        <v>3</v>
      </c>
      <c r="Q190" s="21">
        <v>3</v>
      </c>
      <c r="R190" s="15">
        <f t="shared" si="8"/>
        <v>3.6666666666666665</v>
      </c>
      <c r="S190" s="15">
        <f t="shared" si="9"/>
        <v>4.333333333333333</v>
      </c>
      <c r="T190" s="15">
        <f t="shared" si="10"/>
        <v>2</v>
      </c>
      <c r="U190" s="15">
        <f t="shared" si="11"/>
        <v>3.3333333333333335</v>
      </c>
    </row>
    <row r="191" spans="1:21" ht="40.5" x14ac:dyDescent="0.3">
      <c r="A191" s="15">
        <v>11601</v>
      </c>
      <c r="B191" s="15">
        <v>12170</v>
      </c>
      <c r="C191" s="15">
        <v>1</v>
      </c>
      <c r="D191" s="15" t="s">
        <v>45</v>
      </c>
      <c r="E191" s="20" t="s">
        <v>205</v>
      </c>
      <c r="F191" s="15">
        <v>3</v>
      </c>
      <c r="G191" s="15">
        <v>3</v>
      </c>
      <c r="H191" s="21">
        <v>4</v>
      </c>
      <c r="I191" s="15">
        <v>3</v>
      </c>
      <c r="J191" s="15">
        <v>1</v>
      </c>
      <c r="K191" s="21">
        <v>3</v>
      </c>
      <c r="L191" s="15">
        <v>2</v>
      </c>
      <c r="M191" s="15">
        <v>1</v>
      </c>
      <c r="N191" s="21">
        <v>3</v>
      </c>
      <c r="O191" s="15">
        <v>4</v>
      </c>
      <c r="P191" s="15">
        <v>3</v>
      </c>
      <c r="Q191" s="21">
        <v>4</v>
      </c>
      <c r="R191" s="15">
        <f t="shared" si="8"/>
        <v>3.3333333333333335</v>
      </c>
      <c r="S191" s="15">
        <f t="shared" si="9"/>
        <v>2.3333333333333335</v>
      </c>
      <c r="T191" s="15">
        <f t="shared" si="10"/>
        <v>2</v>
      </c>
      <c r="U191" s="15">
        <f t="shared" si="11"/>
        <v>3.6666666666666665</v>
      </c>
    </row>
    <row r="192" spans="1:21" ht="81" x14ac:dyDescent="0.3">
      <c r="A192" s="15">
        <v>992</v>
      </c>
      <c r="B192" s="15">
        <v>12145</v>
      </c>
      <c r="C192" s="15">
        <v>1</v>
      </c>
      <c r="D192" s="15" t="s">
        <v>4</v>
      </c>
      <c r="E192" s="20" t="s">
        <v>206</v>
      </c>
      <c r="F192" s="15">
        <v>3</v>
      </c>
      <c r="G192" s="15">
        <v>4</v>
      </c>
      <c r="H192" s="21">
        <v>4</v>
      </c>
      <c r="I192" s="15">
        <v>4</v>
      </c>
      <c r="J192" s="15">
        <v>3</v>
      </c>
      <c r="K192" s="21">
        <v>3</v>
      </c>
      <c r="L192" s="15">
        <v>2</v>
      </c>
      <c r="M192" s="15">
        <v>3</v>
      </c>
      <c r="N192" s="21">
        <v>3</v>
      </c>
      <c r="O192" s="15">
        <v>4</v>
      </c>
      <c r="P192" s="15">
        <v>4</v>
      </c>
      <c r="Q192" s="21">
        <v>4</v>
      </c>
      <c r="R192" s="15">
        <f t="shared" si="8"/>
        <v>3.6666666666666665</v>
      </c>
      <c r="S192" s="15">
        <f t="shared" si="9"/>
        <v>3.3333333333333335</v>
      </c>
      <c r="T192" s="15">
        <f t="shared" si="10"/>
        <v>2.6666666666666665</v>
      </c>
      <c r="U192" s="15">
        <f t="shared" si="11"/>
        <v>4</v>
      </c>
    </row>
    <row r="193" spans="1:21" ht="67.5" x14ac:dyDescent="0.3">
      <c r="A193" s="15">
        <v>5603</v>
      </c>
      <c r="B193" s="15">
        <v>13829</v>
      </c>
      <c r="C193" s="15">
        <v>1</v>
      </c>
      <c r="D193" s="15" t="s">
        <v>11</v>
      </c>
      <c r="E193" s="20" t="s">
        <v>207</v>
      </c>
      <c r="F193" s="15">
        <v>4</v>
      </c>
      <c r="G193" s="15">
        <v>3</v>
      </c>
      <c r="H193" s="21">
        <v>3</v>
      </c>
      <c r="I193" s="15">
        <v>3</v>
      </c>
      <c r="J193" s="15">
        <v>3</v>
      </c>
      <c r="K193" s="21">
        <v>3</v>
      </c>
      <c r="L193" s="15">
        <v>3</v>
      </c>
      <c r="M193" s="15">
        <v>1</v>
      </c>
      <c r="N193" s="21">
        <v>3</v>
      </c>
      <c r="O193" s="15">
        <v>4</v>
      </c>
      <c r="P193" s="15">
        <v>3</v>
      </c>
      <c r="Q193" s="21">
        <v>3</v>
      </c>
      <c r="R193" s="15">
        <f t="shared" si="8"/>
        <v>3.3333333333333335</v>
      </c>
      <c r="S193" s="15">
        <f t="shared" si="9"/>
        <v>3</v>
      </c>
      <c r="T193" s="15">
        <f t="shared" si="10"/>
        <v>2.3333333333333335</v>
      </c>
      <c r="U193" s="15">
        <f t="shared" si="11"/>
        <v>3.3333333333333335</v>
      </c>
    </row>
    <row r="194" spans="1:21" ht="54" x14ac:dyDescent="0.3">
      <c r="A194" s="15">
        <v>7857</v>
      </c>
      <c r="B194" s="15">
        <v>10297</v>
      </c>
      <c r="C194" s="15">
        <v>1</v>
      </c>
      <c r="D194" s="15" t="s">
        <v>4</v>
      </c>
      <c r="E194" s="20" t="s">
        <v>208</v>
      </c>
      <c r="F194" s="15">
        <v>3</v>
      </c>
      <c r="G194" s="15">
        <v>2</v>
      </c>
      <c r="H194" s="21">
        <v>4</v>
      </c>
      <c r="I194" s="15">
        <v>4</v>
      </c>
      <c r="J194" s="15">
        <v>3</v>
      </c>
      <c r="K194" s="21">
        <v>3</v>
      </c>
      <c r="L194" s="15">
        <v>3</v>
      </c>
      <c r="M194" s="15">
        <v>1</v>
      </c>
      <c r="N194" s="21">
        <v>3</v>
      </c>
      <c r="O194" s="15">
        <v>4</v>
      </c>
      <c r="P194" s="15">
        <v>2</v>
      </c>
      <c r="Q194" s="21">
        <v>3</v>
      </c>
      <c r="R194" s="15">
        <f t="shared" si="8"/>
        <v>3</v>
      </c>
      <c r="S194" s="15">
        <f t="shared" si="9"/>
        <v>3.3333333333333335</v>
      </c>
      <c r="T194" s="15">
        <f t="shared" si="10"/>
        <v>2.3333333333333335</v>
      </c>
      <c r="U194" s="15">
        <f t="shared" si="11"/>
        <v>3</v>
      </c>
    </row>
    <row r="195" spans="1:21" ht="54" x14ac:dyDescent="0.3">
      <c r="A195" s="15">
        <v>17012</v>
      </c>
      <c r="B195" s="15">
        <v>13261</v>
      </c>
      <c r="C195" s="15">
        <v>1</v>
      </c>
      <c r="D195" s="15" t="s">
        <v>11</v>
      </c>
      <c r="E195" s="20" t="s">
        <v>209</v>
      </c>
      <c r="F195" s="15">
        <v>4</v>
      </c>
      <c r="G195" s="15">
        <v>3</v>
      </c>
      <c r="H195" s="21">
        <v>3</v>
      </c>
      <c r="I195" s="15">
        <v>3</v>
      </c>
      <c r="J195" s="15">
        <v>3</v>
      </c>
      <c r="K195" s="21">
        <v>3</v>
      </c>
      <c r="L195" s="15">
        <v>2</v>
      </c>
      <c r="M195" s="15">
        <v>1</v>
      </c>
      <c r="N195" s="21">
        <v>1</v>
      </c>
      <c r="O195" s="15">
        <v>4</v>
      </c>
      <c r="P195" s="15">
        <v>3</v>
      </c>
      <c r="Q195" s="21">
        <v>3</v>
      </c>
      <c r="R195" s="15">
        <f t="shared" ref="R195:R258" si="12">AVERAGE(F195:H195)</f>
        <v>3.3333333333333335</v>
      </c>
      <c r="S195" s="15">
        <f t="shared" ref="S195:S258" si="13">AVERAGE(I195:K195)</f>
        <v>3</v>
      </c>
      <c r="T195" s="15">
        <f t="shared" ref="T195:T258" si="14">AVERAGE(L195:N195)</f>
        <v>1.3333333333333333</v>
      </c>
      <c r="U195" s="15">
        <f t="shared" ref="U195:U258" si="15">AVERAGE(O195:Q195)</f>
        <v>3.3333333333333335</v>
      </c>
    </row>
    <row r="196" spans="1:21" ht="54" x14ac:dyDescent="0.3">
      <c r="A196" s="15">
        <v>11756</v>
      </c>
      <c r="B196" s="15">
        <v>14175</v>
      </c>
      <c r="C196" s="15">
        <v>1</v>
      </c>
      <c r="D196" s="15" t="s">
        <v>11</v>
      </c>
      <c r="E196" s="20" t="s">
        <v>210</v>
      </c>
      <c r="F196" s="15">
        <v>4</v>
      </c>
      <c r="G196" s="15">
        <v>3</v>
      </c>
      <c r="H196" s="21">
        <v>3</v>
      </c>
      <c r="I196" s="15">
        <v>3</v>
      </c>
      <c r="J196" s="15">
        <v>3</v>
      </c>
      <c r="K196" s="21">
        <v>3</v>
      </c>
      <c r="L196" s="15">
        <v>2</v>
      </c>
      <c r="M196" s="15">
        <v>1</v>
      </c>
      <c r="N196" s="21">
        <v>3</v>
      </c>
      <c r="O196" s="15">
        <v>4</v>
      </c>
      <c r="P196" s="15">
        <v>3</v>
      </c>
      <c r="Q196" s="21">
        <v>3</v>
      </c>
      <c r="R196" s="15">
        <f t="shared" si="12"/>
        <v>3.3333333333333335</v>
      </c>
      <c r="S196" s="15">
        <f t="shared" si="13"/>
        <v>3</v>
      </c>
      <c r="T196" s="15">
        <f t="shared" si="14"/>
        <v>2</v>
      </c>
      <c r="U196" s="15">
        <f t="shared" si="15"/>
        <v>3.3333333333333335</v>
      </c>
    </row>
    <row r="197" spans="1:21" ht="67.5" x14ac:dyDescent="0.3">
      <c r="A197" s="15">
        <v>15872</v>
      </c>
      <c r="B197" s="15">
        <v>12426</v>
      </c>
      <c r="C197" s="15">
        <v>1</v>
      </c>
      <c r="D197" s="15" t="s">
        <v>4</v>
      </c>
      <c r="E197" s="20" t="s">
        <v>211</v>
      </c>
      <c r="F197" s="15">
        <v>4</v>
      </c>
      <c r="G197" s="15">
        <v>3</v>
      </c>
      <c r="H197" s="21">
        <v>3</v>
      </c>
      <c r="I197" s="15">
        <v>3</v>
      </c>
      <c r="J197" s="15">
        <v>3</v>
      </c>
      <c r="K197" s="21">
        <v>3</v>
      </c>
      <c r="L197" s="15">
        <v>2</v>
      </c>
      <c r="M197" s="15">
        <v>1</v>
      </c>
      <c r="N197" s="21">
        <v>3</v>
      </c>
      <c r="O197" s="15">
        <v>4</v>
      </c>
      <c r="P197" s="15">
        <v>3</v>
      </c>
      <c r="Q197" s="21">
        <v>3</v>
      </c>
      <c r="R197" s="15">
        <f t="shared" si="12"/>
        <v>3.3333333333333335</v>
      </c>
      <c r="S197" s="15">
        <f t="shared" si="13"/>
        <v>3</v>
      </c>
      <c r="T197" s="15">
        <f t="shared" si="14"/>
        <v>2</v>
      </c>
      <c r="U197" s="15">
        <f t="shared" si="15"/>
        <v>3.3333333333333335</v>
      </c>
    </row>
    <row r="198" spans="1:21" ht="40.5" x14ac:dyDescent="0.3">
      <c r="A198" s="15">
        <v>14327</v>
      </c>
      <c r="B198" s="15">
        <v>13010</v>
      </c>
      <c r="C198" s="15">
        <v>1</v>
      </c>
      <c r="D198" s="15" t="s">
        <v>4</v>
      </c>
      <c r="E198" s="20" t="s">
        <v>212</v>
      </c>
      <c r="F198" s="15">
        <v>3</v>
      </c>
      <c r="G198" s="15">
        <v>2</v>
      </c>
      <c r="H198" s="21">
        <v>4</v>
      </c>
      <c r="I198" s="15">
        <v>3</v>
      </c>
      <c r="J198" s="15">
        <v>3</v>
      </c>
      <c r="K198" s="21">
        <v>3</v>
      </c>
      <c r="L198" s="15">
        <v>3</v>
      </c>
      <c r="M198" s="15">
        <v>1</v>
      </c>
      <c r="N198" s="21">
        <v>3</v>
      </c>
      <c r="O198" s="15">
        <v>4</v>
      </c>
      <c r="P198" s="15">
        <v>2</v>
      </c>
      <c r="Q198" s="21">
        <v>4</v>
      </c>
      <c r="R198" s="15">
        <f t="shared" si="12"/>
        <v>3</v>
      </c>
      <c r="S198" s="15">
        <f t="shared" si="13"/>
        <v>3</v>
      </c>
      <c r="T198" s="15">
        <f t="shared" si="14"/>
        <v>2.3333333333333335</v>
      </c>
      <c r="U198" s="15">
        <f t="shared" si="15"/>
        <v>3.3333333333333335</v>
      </c>
    </row>
    <row r="199" spans="1:21" ht="67.5" x14ac:dyDescent="0.3">
      <c r="A199" s="15">
        <v>13092</v>
      </c>
      <c r="B199" s="15">
        <v>11421</v>
      </c>
      <c r="C199" s="15">
        <v>1</v>
      </c>
      <c r="D199" s="15" t="s">
        <v>4</v>
      </c>
      <c r="E199" s="20" t="s">
        <v>213</v>
      </c>
      <c r="F199" s="15">
        <v>3</v>
      </c>
      <c r="G199" s="15">
        <v>4</v>
      </c>
      <c r="H199" s="21">
        <v>3</v>
      </c>
      <c r="I199" s="15">
        <v>4</v>
      </c>
      <c r="J199" s="15">
        <v>3</v>
      </c>
      <c r="K199" s="21">
        <v>5</v>
      </c>
      <c r="L199" s="15">
        <v>2</v>
      </c>
      <c r="M199" s="15">
        <v>1</v>
      </c>
      <c r="N199" s="21">
        <v>3</v>
      </c>
      <c r="O199" s="15">
        <v>4</v>
      </c>
      <c r="P199" s="15">
        <v>3</v>
      </c>
      <c r="Q199" s="21">
        <v>3</v>
      </c>
      <c r="R199" s="15">
        <f t="shared" si="12"/>
        <v>3.3333333333333335</v>
      </c>
      <c r="S199" s="15">
        <f t="shared" si="13"/>
        <v>4</v>
      </c>
      <c r="T199" s="15">
        <f t="shared" si="14"/>
        <v>2</v>
      </c>
      <c r="U199" s="15">
        <f t="shared" si="15"/>
        <v>3.3333333333333335</v>
      </c>
    </row>
    <row r="200" spans="1:21" ht="81" x14ac:dyDescent="0.3">
      <c r="A200" s="15">
        <v>8395</v>
      </c>
      <c r="B200" s="15">
        <v>14979</v>
      </c>
      <c r="C200" s="15">
        <v>1</v>
      </c>
      <c r="D200" s="15" t="s">
        <v>4</v>
      </c>
      <c r="E200" s="20" t="s">
        <v>214</v>
      </c>
      <c r="F200" s="15">
        <v>4</v>
      </c>
      <c r="G200" s="15">
        <v>3</v>
      </c>
      <c r="H200" s="21">
        <v>5</v>
      </c>
      <c r="I200" s="15">
        <v>4</v>
      </c>
      <c r="J200" s="15">
        <v>3</v>
      </c>
      <c r="K200" s="21">
        <v>3</v>
      </c>
      <c r="L200" s="15">
        <v>2</v>
      </c>
      <c r="M200" s="15">
        <v>1</v>
      </c>
      <c r="N200" s="21">
        <v>3</v>
      </c>
      <c r="O200" s="15">
        <v>4</v>
      </c>
      <c r="P200" s="15">
        <v>3</v>
      </c>
      <c r="Q200" s="21">
        <v>5</v>
      </c>
      <c r="R200" s="15">
        <f t="shared" si="12"/>
        <v>4</v>
      </c>
      <c r="S200" s="15">
        <f t="shared" si="13"/>
        <v>3.3333333333333335</v>
      </c>
      <c r="T200" s="15">
        <f t="shared" si="14"/>
        <v>2</v>
      </c>
      <c r="U200" s="15">
        <f t="shared" si="15"/>
        <v>4</v>
      </c>
    </row>
    <row r="201" spans="1:21" ht="67.5" x14ac:dyDescent="0.3">
      <c r="A201" s="15">
        <v>8197</v>
      </c>
      <c r="B201" s="15">
        <v>11886</v>
      </c>
      <c r="C201" s="15">
        <v>1</v>
      </c>
      <c r="D201" s="15" t="s">
        <v>50</v>
      </c>
      <c r="E201" s="20" t="s">
        <v>215</v>
      </c>
      <c r="F201" s="15">
        <v>4</v>
      </c>
      <c r="G201" s="15">
        <v>3</v>
      </c>
      <c r="H201" s="21">
        <v>4</v>
      </c>
      <c r="I201" s="15">
        <v>3</v>
      </c>
      <c r="J201" s="15">
        <v>3</v>
      </c>
      <c r="K201" s="21">
        <v>3</v>
      </c>
      <c r="L201" s="15">
        <v>3</v>
      </c>
      <c r="M201" s="15">
        <v>1</v>
      </c>
      <c r="N201" s="21">
        <v>3</v>
      </c>
      <c r="O201" s="15">
        <v>4</v>
      </c>
      <c r="P201" s="15">
        <v>3</v>
      </c>
      <c r="Q201" s="21">
        <v>4</v>
      </c>
      <c r="R201" s="15">
        <f t="shared" si="12"/>
        <v>3.6666666666666665</v>
      </c>
      <c r="S201" s="15">
        <f t="shared" si="13"/>
        <v>3</v>
      </c>
      <c r="T201" s="15">
        <f t="shared" si="14"/>
        <v>2.3333333333333335</v>
      </c>
      <c r="U201" s="15">
        <f t="shared" si="15"/>
        <v>3.6666666666666665</v>
      </c>
    </row>
    <row r="202" spans="1:21" ht="81" x14ac:dyDescent="0.3">
      <c r="A202" s="15">
        <v>5169</v>
      </c>
      <c r="B202" s="15">
        <v>14943</v>
      </c>
      <c r="C202" s="15">
        <v>1</v>
      </c>
      <c r="D202" s="15" t="s">
        <v>4</v>
      </c>
      <c r="E202" s="20" t="s">
        <v>216</v>
      </c>
      <c r="F202" s="15">
        <v>3</v>
      </c>
      <c r="G202" s="15">
        <v>3</v>
      </c>
      <c r="H202" s="21">
        <v>4</v>
      </c>
      <c r="I202" s="15">
        <v>4</v>
      </c>
      <c r="J202" s="15">
        <v>4</v>
      </c>
      <c r="K202" s="21">
        <v>5</v>
      </c>
      <c r="L202" s="15">
        <v>2</v>
      </c>
      <c r="M202" s="15">
        <v>1</v>
      </c>
      <c r="N202" s="21">
        <v>3</v>
      </c>
      <c r="O202" s="15">
        <v>4</v>
      </c>
      <c r="P202" s="15">
        <v>3</v>
      </c>
      <c r="Q202" s="21">
        <v>4</v>
      </c>
      <c r="R202" s="15">
        <f t="shared" si="12"/>
        <v>3.3333333333333335</v>
      </c>
      <c r="S202" s="15">
        <f t="shared" si="13"/>
        <v>4.333333333333333</v>
      </c>
      <c r="T202" s="15">
        <f t="shared" si="14"/>
        <v>2</v>
      </c>
      <c r="U202" s="15">
        <f t="shared" si="15"/>
        <v>3.6666666666666665</v>
      </c>
    </row>
    <row r="203" spans="1:21" ht="54" x14ac:dyDescent="0.3">
      <c r="A203" s="15">
        <v>284</v>
      </c>
      <c r="B203" s="15">
        <v>14462</v>
      </c>
      <c r="C203" s="15">
        <v>1</v>
      </c>
      <c r="D203" s="15" t="s">
        <v>4</v>
      </c>
      <c r="E203" s="20" t="s">
        <v>217</v>
      </c>
      <c r="F203" s="15">
        <v>3</v>
      </c>
      <c r="G203" s="15">
        <v>3</v>
      </c>
      <c r="H203" s="21">
        <v>5</v>
      </c>
      <c r="I203" s="15">
        <v>4</v>
      </c>
      <c r="J203" s="15">
        <v>3</v>
      </c>
      <c r="K203" s="21">
        <v>3</v>
      </c>
      <c r="L203" s="15">
        <v>2</v>
      </c>
      <c r="M203" s="15">
        <v>1</v>
      </c>
      <c r="N203" s="21">
        <v>3</v>
      </c>
      <c r="O203" s="15">
        <v>4</v>
      </c>
      <c r="P203" s="15">
        <v>3</v>
      </c>
      <c r="Q203" s="21">
        <v>5</v>
      </c>
      <c r="R203" s="15">
        <f t="shared" si="12"/>
        <v>3.6666666666666665</v>
      </c>
      <c r="S203" s="15">
        <f t="shared" si="13"/>
        <v>3.3333333333333335</v>
      </c>
      <c r="T203" s="15">
        <f t="shared" si="14"/>
        <v>2</v>
      </c>
      <c r="U203" s="15">
        <f t="shared" si="15"/>
        <v>4</v>
      </c>
    </row>
    <row r="204" spans="1:21" ht="54" x14ac:dyDescent="0.3">
      <c r="A204" s="15">
        <v>7497</v>
      </c>
      <c r="B204" s="15">
        <v>14509</v>
      </c>
      <c r="C204" s="15">
        <v>1</v>
      </c>
      <c r="D204" s="15" t="s">
        <v>4</v>
      </c>
      <c r="E204" s="20" t="s">
        <v>218</v>
      </c>
      <c r="F204" s="15">
        <v>4</v>
      </c>
      <c r="G204" s="15">
        <v>4</v>
      </c>
      <c r="H204" s="21">
        <v>4</v>
      </c>
      <c r="I204" s="15">
        <v>3</v>
      </c>
      <c r="J204" s="15">
        <v>3</v>
      </c>
      <c r="K204" s="21">
        <v>3</v>
      </c>
      <c r="L204" s="15">
        <v>2</v>
      </c>
      <c r="M204" s="15">
        <v>1</v>
      </c>
      <c r="N204" s="21">
        <v>3</v>
      </c>
      <c r="O204" s="15">
        <v>4</v>
      </c>
      <c r="P204" s="15">
        <v>4</v>
      </c>
      <c r="Q204" s="21">
        <v>4</v>
      </c>
      <c r="R204" s="15">
        <f t="shared" si="12"/>
        <v>4</v>
      </c>
      <c r="S204" s="15">
        <f t="shared" si="13"/>
        <v>3</v>
      </c>
      <c r="T204" s="15">
        <f t="shared" si="14"/>
        <v>2</v>
      </c>
      <c r="U204" s="15">
        <f t="shared" si="15"/>
        <v>4</v>
      </c>
    </row>
    <row r="205" spans="1:21" ht="81" x14ac:dyDescent="0.3">
      <c r="A205" s="15">
        <v>14419</v>
      </c>
      <c r="B205" s="15">
        <v>11962</v>
      </c>
      <c r="C205" s="15">
        <v>1</v>
      </c>
      <c r="D205" s="15" t="s">
        <v>6</v>
      </c>
      <c r="E205" s="20" t="s">
        <v>219</v>
      </c>
      <c r="F205" s="15">
        <v>4</v>
      </c>
      <c r="G205" s="15">
        <v>3</v>
      </c>
      <c r="H205" s="21">
        <v>4</v>
      </c>
      <c r="I205" s="15">
        <v>3</v>
      </c>
      <c r="J205" s="15">
        <v>3</v>
      </c>
      <c r="K205" s="21">
        <v>5</v>
      </c>
      <c r="L205" s="15">
        <v>2</v>
      </c>
      <c r="M205" s="15">
        <v>1</v>
      </c>
      <c r="N205" s="21">
        <v>3</v>
      </c>
      <c r="O205" s="15">
        <v>4</v>
      </c>
      <c r="P205" s="15">
        <v>3</v>
      </c>
      <c r="Q205" s="21">
        <v>4</v>
      </c>
      <c r="R205" s="15">
        <f t="shared" si="12"/>
        <v>3.6666666666666665</v>
      </c>
      <c r="S205" s="15">
        <f t="shared" si="13"/>
        <v>3.6666666666666665</v>
      </c>
      <c r="T205" s="15">
        <f t="shared" si="14"/>
        <v>2</v>
      </c>
      <c r="U205" s="15">
        <f t="shared" si="15"/>
        <v>3.6666666666666665</v>
      </c>
    </row>
    <row r="206" spans="1:21" ht="40.5" x14ac:dyDescent="0.3">
      <c r="A206" s="15">
        <v>16539</v>
      </c>
      <c r="B206" s="15">
        <v>12002</v>
      </c>
      <c r="C206" s="15">
        <v>1</v>
      </c>
      <c r="D206" s="15" t="s">
        <v>40</v>
      </c>
      <c r="E206" s="20" t="s">
        <v>220</v>
      </c>
      <c r="F206" s="15">
        <v>3</v>
      </c>
      <c r="G206" s="15">
        <v>3</v>
      </c>
      <c r="H206" s="21">
        <v>3</v>
      </c>
      <c r="I206" s="15">
        <v>4</v>
      </c>
      <c r="J206" s="15">
        <v>3</v>
      </c>
      <c r="K206" s="21">
        <v>3</v>
      </c>
      <c r="L206" s="15">
        <v>2</v>
      </c>
      <c r="M206" s="15">
        <v>1</v>
      </c>
      <c r="N206" s="21">
        <v>2</v>
      </c>
      <c r="O206" s="15">
        <v>4</v>
      </c>
      <c r="P206" s="15">
        <v>3</v>
      </c>
      <c r="Q206" s="21">
        <v>3</v>
      </c>
      <c r="R206" s="15">
        <f t="shared" si="12"/>
        <v>3</v>
      </c>
      <c r="S206" s="15">
        <f t="shared" si="13"/>
        <v>3.3333333333333335</v>
      </c>
      <c r="T206" s="15">
        <f t="shared" si="14"/>
        <v>1.6666666666666667</v>
      </c>
      <c r="U206" s="15">
        <f t="shared" si="15"/>
        <v>3.3333333333333335</v>
      </c>
    </row>
    <row r="207" spans="1:21" ht="54" x14ac:dyDescent="0.3">
      <c r="A207" s="15">
        <v>12221</v>
      </c>
      <c r="B207" s="15">
        <v>12903</v>
      </c>
      <c r="C207" s="15">
        <v>1</v>
      </c>
      <c r="D207" s="15" t="s">
        <v>6</v>
      </c>
      <c r="E207" s="20" t="s">
        <v>221</v>
      </c>
      <c r="F207" s="15">
        <v>4</v>
      </c>
      <c r="G207" s="15">
        <v>3</v>
      </c>
      <c r="H207" s="21">
        <v>3</v>
      </c>
      <c r="I207" s="15">
        <v>3</v>
      </c>
      <c r="J207" s="15">
        <v>3</v>
      </c>
      <c r="K207" s="21">
        <v>3</v>
      </c>
      <c r="L207" s="15">
        <v>3</v>
      </c>
      <c r="M207" s="15">
        <v>1</v>
      </c>
      <c r="N207" s="21">
        <v>3</v>
      </c>
      <c r="O207" s="15">
        <v>4</v>
      </c>
      <c r="P207" s="15">
        <v>3</v>
      </c>
      <c r="Q207" s="21">
        <v>3</v>
      </c>
      <c r="R207" s="15">
        <f t="shared" si="12"/>
        <v>3.3333333333333335</v>
      </c>
      <c r="S207" s="15">
        <f t="shared" si="13"/>
        <v>3</v>
      </c>
      <c r="T207" s="15">
        <f t="shared" si="14"/>
        <v>2.3333333333333335</v>
      </c>
      <c r="U207" s="15">
        <f t="shared" si="15"/>
        <v>3.3333333333333335</v>
      </c>
    </row>
    <row r="208" spans="1:21" ht="67.5" x14ac:dyDescent="0.3">
      <c r="A208" s="15">
        <v>10014</v>
      </c>
      <c r="B208" s="15">
        <v>11636</v>
      </c>
      <c r="C208" s="15">
        <v>1</v>
      </c>
      <c r="D208" s="15" t="s">
        <v>4</v>
      </c>
      <c r="E208" s="20" t="s">
        <v>222</v>
      </c>
      <c r="F208" s="15">
        <v>4</v>
      </c>
      <c r="G208" s="15">
        <v>4</v>
      </c>
      <c r="H208" s="21">
        <v>4</v>
      </c>
      <c r="I208" s="15">
        <v>3</v>
      </c>
      <c r="J208" s="15">
        <v>1</v>
      </c>
      <c r="K208" s="21">
        <v>3</v>
      </c>
      <c r="L208" s="15">
        <v>3</v>
      </c>
      <c r="M208" s="15">
        <v>1</v>
      </c>
      <c r="N208" s="21">
        <v>3</v>
      </c>
      <c r="O208" s="15">
        <v>4</v>
      </c>
      <c r="P208" s="15">
        <v>4</v>
      </c>
      <c r="Q208" s="21">
        <v>3</v>
      </c>
      <c r="R208" s="15">
        <f t="shared" si="12"/>
        <v>4</v>
      </c>
      <c r="S208" s="15">
        <f t="shared" si="13"/>
        <v>2.3333333333333335</v>
      </c>
      <c r="T208" s="15">
        <f t="shared" si="14"/>
        <v>2.3333333333333335</v>
      </c>
      <c r="U208" s="15">
        <f t="shared" si="15"/>
        <v>3.6666666666666665</v>
      </c>
    </row>
    <row r="209" spans="1:21" ht="40.5" x14ac:dyDescent="0.3">
      <c r="A209" s="15">
        <v>2451</v>
      </c>
      <c r="B209" s="15">
        <v>12442</v>
      </c>
      <c r="C209" s="15">
        <v>1</v>
      </c>
      <c r="D209" s="15" t="s">
        <v>4</v>
      </c>
      <c r="E209" s="20" t="s">
        <v>223</v>
      </c>
      <c r="F209" s="15">
        <v>3</v>
      </c>
      <c r="G209" s="15">
        <v>3</v>
      </c>
      <c r="H209" s="21">
        <v>3</v>
      </c>
      <c r="I209" s="15">
        <v>3</v>
      </c>
      <c r="J209" s="15">
        <v>3</v>
      </c>
      <c r="K209" s="21">
        <v>3</v>
      </c>
      <c r="L209" s="15">
        <v>2</v>
      </c>
      <c r="M209" s="15">
        <v>3</v>
      </c>
      <c r="N209" s="21">
        <v>1</v>
      </c>
      <c r="O209" s="15">
        <v>4</v>
      </c>
      <c r="P209" s="15">
        <v>3</v>
      </c>
      <c r="Q209" s="21">
        <v>3</v>
      </c>
      <c r="R209" s="15">
        <f t="shared" si="12"/>
        <v>3</v>
      </c>
      <c r="S209" s="15">
        <f t="shared" si="13"/>
        <v>3</v>
      </c>
      <c r="T209" s="15">
        <f t="shared" si="14"/>
        <v>2</v>
      </c>
      <c r="U209" s="15">
        <f t="shared" si="15"/>
        <v>3.3333333333333335</v>
      </c>
    </row>
    <row r="210" spans="1:21" ht="94.5" x14ac:dyDescent="0.3">
      <c r="A210" s="15">
        <v>5374</v>
      </c>
      <c r="B210" s="15">
        <v>13348</v>
      </c>
      <c r="C210" s="15">
        <v>1</v>
      </c>
      <c r="D210" s="15" t="s">
        <v>4</v>
      </c>
      <c r="E210" s="20" t="s">
        <v>224</v>
      </c>
      <c r="F210" s="15">
        <v>4</v>
      </c>
      <c r="G210" s="15">
        <v>4</v>
      </c>
      <c r="H210" s="21">
        <v>4</v>
      </c>
      <c r="I210" s="15">
        <v>3</v>
      </c>
      <c r="J210" s="15">
        <v>3</v>
      </c>
      <c r="K210" s="21">
        <v>5</v>
      </c>
      <c r="L210" s="15">
        <v>3</v>
      </c>
      <c r="M210" s="15">
        <v>1</v>
      </c>
      <c r="N210" s="21">
        <v>3</v>
      </c>
      <c r="O210" s="15">
        <v>4</v>
      </c>
      <c r="P210" s="15">
        <v>4</v>
      </c>
      <c r="Q210" s="21">
        <v>4</v>
      </c>
      <c r="R210" s="15">
        <f t="shared" si="12"/>
        <v>4</v>
      </c>
      <c r="S210" s="15">
        <f t="shared" si="13"/>
        <v>3.6666666666666665</v>
      </c>
      <c r="T210" s="15">
        <f t="shared" si="14"/>
        <v>2.3333333333333335</v>
      </c>
      <c r="U210" s="15">
        <f t="shared" si="15"/>
        <v>4</v>
      </c>
    </row>
    <row r="211" spans="1:21" ht="121.5" x14ac:dyDescent="0.3">
      <c r="A211" s="15">
        <v>832</v>
      </c>
      <c r="B211" s="15">
        <v>14987</v>
      </c>
      <c r="C211" s="15">
        <v>1</v>
      </c>
      <c r="D211" s="15" t="s">
        <v>4</v>
      </c>
      <c r="E211" s="20" t="s">
        <v>225</v>
      </c>
      <c r="F211" s="15">
        <v>4</v>
      </c>
      <c r="G211" s="15">
        <v>4</v>
      </c>
      <c r="H211" s="21">
        <v>4</v>
      </c>
      <c r="I211" s="15">
        <v>4</v>
      </c>
      <c r="J211" s="15">
        <v>3</v>
      </c>
      <c r="K211" s="21">
        <v>5</v>
      </c>
      <c r="L211" s="15">
        <v>2</v>
      </c>
      <c r="M211" s="15">
        <v>3</v>
      </c>
      <c r="N211" s="21">
        <v>3</v>
      </c>
      <c r="O211" s="15">
        <v>4</v>
      </c>
      <c r="P211" s="15">
        <v>4</v>
      </c>
      <c r="Q211" s="21">
        <v>5</v>
      </c>
      <c r="R211" s="15">
        <f t="shared" si="12"/>
        <v>4</v>
      </c>
      <c r="S211" s="15">
        <f t="shared" si="13"/>
        <v>4</v>
      </c>
      <c r="T211" s="15">
        <f t="shared" si="14"/>
        <v>2.6666666666666665</v>
      </c>
      <c r="U211" s="15">
        <f t="shared" si="15"/>
        <v>4.333333333333333</v>
      </c>
    </row>
    <row r="212" spans="1:21" ht="40.5" x14ac:dyDescent="0.3">
      <c r="A212" s="15">
        <v>14856</v>
      </c>
      <c r="B212" s="15">
        <v>10346</v>
      </c>
      <c r="C212" s="15">
        <v>1</v>
      </c>
      <c r="D212" s="15" t="s">
        <v>4</v>
      </c>
      <c r="E212" s="20" t="s">
        <v>226</v>
      </c>
      <c r="F212" s="15">
        <v>3</v>
      </c>
      <c r="G212" s="15">
        <v>3</v>
      </c>
      <c r="H212" s="21">
        <v>3</v>
      </c>
      <c r="I212" s="15">
        <v>3</v>
      </c>
      <c r="J212" s="15">
        <v>1</v>
      </c>
      <c r="K212" s="21">
        <v>3</v>
      </c>
      <c r="L212" s="15">
        <v>2</v>
      </c>
      <c r="M212" s="15">
        <v>1</v>
      </c>
      <c r="N212" s="21">
        <v>2</v>
      </c>
      <c r="O212" s="15">
        <v>4</v>
      </c>
      <c r="P212" s="15">
        <v>3</v>
      </c>
      <c r="Q212" s="21">
        <v>4</v>
      </c>
      <c r="R212" s="15">
        <f t="shared" si="12"/>
        <v>3</v>
      </c>
      <c r="S212" s="15">
        <f t="shared" si="13"/>
        <v>2.3333333333333335</v>
      </c>
      <c r="T212" s="15">
        <f t="shared" si="14"/>
        <v>1.6666666666666667</v>
      </c>
      <c r="U212" s="15">
        <f t="shared" si="15"/>
        <v>3.6666666666666665</v>
      </c>
    </row>
    <row r="213" spans="1:21" ht="54" x14ac:dyDescent="0.3">
      <c r="A213" s="15">
        <v>380</v>
      </c>
      <c r="B213" s="15">
        <v>11044</v>
      </c>
      <c r="C213" s="15">
        <v>1</v>
      </c>
      <c r="D213" s="15" t="s">
        <v>4</v>
      </c>
      <c r="E213" s="20" t="s">
        <v>227</v>
      </c>
      <c r="F213" s="15">
        <v>3</v>
      </c>
      <c r="G213" s="15">
        <v>3</v>
      </c>
      <c r="H213" s="21">
        <v>3</v>
      </c>
      <c r="I213" s="15">
        <v>3</v>
      </c>
      <c r="J213" s="15">
        <v>3</v>
      </c>
      <c r="K213" s="21">
        <v>3</v>
      </c>
      <c r="L213" s="15">
        <v>2</v>
      </c>
      <c r="M213" s="15">
        <v>1</v>
      </c>
      <c r="N213" s="21">
        <v>3</v>
      </c>
      <c r="O213" s="15">
        <v>5</v>
      </c>
      <c r="P213" s="15">
        <v>3</v>
      </c>
      <c r="Q213" s="21">
        <v>5</v>
      </c>
      <c r="R213" s="15">
        <f t="shared" si="12"/>
        <v>3</v>
      </c>
      <c r="S213" s="15">
        <f t="shared" si="13"/>
        <v>3</v>
      </c>
      <c r="T213" s="15">
        <f t="shared" si="14"/>
        <v>2</v>
      </c>
      <c r="U213" s="15">
        <f t="shared" si="15"/>
        <v>4.333333333333333</v>
      </c>
    </row>
    <row r="214" spans="1:21" ht="67.5" x14ac:dyDescent="0.3">
      <c r="A214" s="15">
        <v>13091</v>
      </c>
      <c r="B214" s="15">
        <v>13273</v>
      </c>
      <c r="C214" s="15">
        <v>1</v>
      </c>
      <c r="D214" s="15" t="s">
        <v>11</v>
      </c>
      <c r="E214" s="20" t="s">
        <v>228</v>
      </c>
      <c r="F214" s="15">
        <v>4</v>
      </c>
      <c r="G214" s="15">
        <v>3</v>
      </c>
      <c r="H214" s="21">
        <v>3</v>
      </c>
      <c r="I214" s="15">
        <v>4</v>
      </c>
      <c r="J214" s="15">
        <v>3</v>
      </c>
      <c r="K214" s="21">
        <v>3</v>
      </c>
      <c r="L214" s="15">
        <v>2</v>
      </c>
      <c r="M214" s="15">
        <v>1</v>
      </c>
      <c r="N214" s="21">
        <v>3</v>
      </c>
      <c r="O214" s="15">
        <v>4</v>
      </c>
      <c r="P214" s="15">
        <v>3</v>
      </c>
      <c r="Q214" s="21">
        <v>3</v>
      </c>
      <c r="R214" s="15">
        <f t="shared" si="12"/>
        <v>3.3333333333333335</v>
      </c>
      <c r="S214" s="15">
        <f t="shared" si="13"/>
        <v>3.3333333333333335</v>
      </c>
      <c r="T214" s="15">
        <f t="shared" si="14"/>
        <v>2</v>
      </c>
      <c r="U214" s="15">
        <f t="shared" si="15"/>
        <v>3.3333333333333335</v>
      </c>
    </row>
    <row r="215" spans="1:21" ht="81" x14ac:dyDescent="0.3">
      <c r="A215" s="15">
        <v>6521</v>
      </c>
      <c r="B215" s="15">
        <v>11814</v>
      </c>
      <c r="C215" s="15">
        <v>1</v>
      </c>
      <c r="D215" s="15" t="s">
        <v>229</v>
      </c>
      <c r="E215" s="20" t="s">
        <v>230</v>
      </c>
      <c r="F215" s="15">
        <v>4</v>
      </c>
      <c r="G215" s="15">
        <v>3</v>
      </c>
      <c r="H215" s="21">
        <v>4</v>
      </c>
      <c r="I215" s="15">
        <v>4</v>
      </c>
      <c r="J215" s="15">
        <v>3</v>
      </c>
      <c r="K215" s="21">
        <v>5</v>
      </c>
      <c r="L215" s="15">
        <v>2</v>
      </c>
      <c r="M215" s="15">
        <v>2</v>
      </c>
      <c r="N215" s="21">
        <v>3</v>
      </c>
      <c r="O215" s="15">
        <v>4</v>
      </c>
      <c r="P215" s="15">
        <v>3</v>
      </c>
      <c r="Q215" s="21">
        <v>4</v>
      </c>
      <c r="R215" s="15">
        <f t="shared" si="12"/>
        <v>3.6666666666666665</v>
      </c>
      <c r="S215" s="15">
        <f t="shared" si="13"/>
        <v>4</v>
      </c>
      <c r="T215" s="15">
        <f t="shared" si="14"/>
        <v>2.3333333333333335</v>
      </c>
      <c r="U215" s="15">
        <f t="shared" si="15"/>
        <v>3.6666666666666665</v>
      </c>
    </row>
    <row r="216" spans="1:21" ht="27" x14ac:dyDescent="0.3">
      <c r="A216" s="15">
        <v>1895</v>
      </c>
      <c r="B216" s="15">
        <v>10902</v>
      </c>
      <c r="C216" s="15">
        <v>1</v>
      </c>
      <c r="D216" s="15" t="s">
        <v>231</v>
      </c>
      <c r="E216" s="20" t="s">
        <v>542</v>
      </c>
      <c r="F216" s="15">
        <v>3</v>
      </c>
      <c r="G216" s="15">
        <v>2</v>
      </c>
      <c r="H216" s="21">
        <v>3</v>
      </c>
      <c r="I216" s="15">
        <v>4</v>
      </c>
      <c r="J216" s="15">
        <v>1</v>
      </c>
      <c r="K216" s="21">
        <v>3</v>
      </c>
      <c r="L216" s="15">
        <v>2</v>
      </c>
      <c r="M216" s="15">
        <v>1</v>
      </c>
      <c r="N216" s="21">
        <v>2</v>
      </c>
      <c r="O216" s="15">
        <v>4</v>
      </c>
      <c r="P216" s="15">
        <v>3</v>
      </c>
      <c r="Q216" s="21">
        <v>3</v>
      </c>
      <c r="R216" s="15">
        <f t="shared" si="12"/>
        <v>2.6666666666666665</v>
      </c>
      <c r="S216" s="15">
        <f t="shared" si="13"/>
        <v>2.6666666666666665</v>
      </c>
      <c r="T216" s="15">
        <f t="shared" si="14"/>
        <v>1.6666666666666667</v>
      </c>
      <c r="U216" s="15">
        <f t="shared" si="15"/>
        <v>3.3333333333333335</v>
      </c>
    </row>
    <row r="217" spans="1:21" ht="54" x14ac:dyDescent="0.3">
      <c r="A217" s="15">
        <v>1584</v>
      </c>
      <c r="B217" s="15">
        <v>12987</v>
      </c>
      <c r="C217" s="15">
        <v>1</v>
      </c>
      <c r="D217" s="15" t="s">
        <v>4</v>
      </c>
      <c r="E217" s="20" t="s">
        <v>232</v>
      </c>
      <c r="F217" s="15">
        <v>3</v>
      </c>
      <c r="G217" s="15">
        <v>3</v>
      </c>
      <c r="H217" s="21">
        <v>3</v>
      </c>
      <c r="I217" s="15">
        <v>3</v>
      </c>
      <c r="J217" s="15">
        <v>3</v>
      </c>
      <c r="K217" s="21">
        <v>3</v>
      </c>
      <c r="L217" s="15">
        <v>3</v>
      </c>
      <c r="M217" s="15">
        <v>1</v>
      </c>
      <c r="N217" s="21">
        <v>3</v>
      </c>
      <c r="O217" s="15">
        <v>4</v>
      </c>
      <c r="P217" s="15">
        <v>3</v>
      </c>
      <c r="Q217" s="21">
        <v>3</v>
      </c>
      <c r="R217" s="15">
        <f t="shared" si="12"/>
        <v>3</v>
      </c>
      <c r="S217" s="15">
        <f t="shared" si="13"/>
        <v>3</v>
      </c>
      <c r="T217" s="15">
        <f t="shared" si="14"/>
        <v>2.3333333333333335</v>
      </c>
      <c r="U217" s="15">
        <f t="shared" si="15"/>
        <v>3.3333333333333335</v>
      </c>
    </row>
    <row r="218" spans="1:21" ht="54" x14ac:dyDescent="0.3">
      <c r="A218" s="15">
        <v>9311</v>
      </c>
      <c r="B218" s="15">
        <v>12716</v>
      </c>
      <c r="C218" s="15">
        <v>1</v>
      </c>
      <c r="D218" s="15" t="s">
        <v>233</v>
      </c>
      <c r="E218" s="20" t="s">
        <v>234</v>
      </c>
      <c r="F218" s="15">
        <v>3</v>
      </c>
      <c r="G218" s="15">
        <v>3</v>
      </c>
      <c r="H218" s="21">
        <v>4</v>
      </c>
      <c r="I218" s="15">
        <v>3</v>
      </c>
      <c r="J218" s="15">
        <v>3</v>
      </c>
      <c r="K218" s="21">
        <v>3</v>
      </c>
      <c r="L218" s="15">
        <v>2</v>
      </c>
      <c r="M218" s="15">
        <v>1</v>
      </c>
      <c r="N218" s="21">
        <v>3</v>
      </c>
      <c r="O218" s="15">
        <v>4</v>
      </c>
      <c r="P218" s="15">
        <v>3</v>
      </c>
      <c r="Q218" s="21">
        <v>4</v>
      </c>
      <c r="R218" s="15">
        <f t="shared" si="12"/>
        <v>3.3333333333333335</v>
      </c>
      <c r="S218" s="15">
        <f t="shared" si="13"/>
        <v>3</v>
      </c>
      <c r="T218" s="15">
        <f t="shared" si="14"/>
        <v>2</v>
      </c>
      <c r="U218" s="15">
        <f t="shared" si="15"/>
        <v>3.6666666666666665</v>
      </c>
    </row>
    <row r="219" spans="1:21" ht="40.5" x14ac:dyDescent="0.3">
      <c r="A219" s="15">
        <v>3684</v>
      </c>
      <c r="B219" s="15">
        <v>11630</v>
      </c>
      <c r="C219" s="15">
        <v>1</v>
      </c>
      <c r="D219" s="15" t="s">
        <v>6</v>
      </c>
      <c r="E219" s="20" t="s">
        <v>235</v>
      </c>
      <c r="F219" s="15">
        <v>4</v>
      </c>
      <c r="G219" s="15">
        <v>3</v>
      </c>
      <c r="H219" s="21">
        <v>4</v>
      </c>
      <c r="I219" s="15">
        <v>3</v>
      </c>
      <c r="J219" s="15">
        <v>1</v>
      </c>
      <c r="K219" s="21">
        <v>3</v>
      </c>
      <c r="L219" s="15">
        <v>2</v>
      </c>
      <c r="M219" s="15">
        <v>1</v>
      </c>
      <c r="N219" s="21">
        <v>3</v>
      </c>
      <c r="O219" s="15">
        <v>4</v>
      </c>
      <c r="P219" s="15">
        <v>3</v>
      </c>
      <c r="Q219" s="21">
        <v>4</v>
      </c>
      <c r="R219" s="15">
        <f t="shared" si="12"/>
        <v>3.6666666666666665</v>
      </c>
      <c r="S219" s="15">
        <f t="shared" si="13"/>
        <v>2.3333333333333335</v>
      </c>
      <c r="T219" s="15">
        <f t="shared" si="14"/>
        <v>2</v>
      </c>
      <c r="U219" s="15">
        <f t="shared" si="15"/>
        <v>3.6666666666666665</v>
      </c>
    </row>
    <row r="220" spans="1:21" ht="121.5" x14ac:dyDescent="0.3">
      <c r="A220" s="15">
        <v>6572</v>
      </c>
      <c r="B220" s="15">
        <v>10098</v>
      </c>
      <c r="C220" s="15">
        <v>1</v>
      </c>
      <c r="D220" s="15" t="s">
        <v>4</v>
      </c>
      <c r="E220" s="20" t="s">
        <v>236</v>
      </c>
      <c r="F220" s="15">
        <v>4</v>
      </c>
      <c r="G220" s="15">
        <v>4</v>
      </c>
      <c r="H220" s="21">
        <v>4</v>
      </c>
      <c r="I220" s="15">
        <v>3</v>
      </c>
      <c r="J220" s="15">
        <v>3</v>
      </c>
      <c r="K220" s="21">
        <v>5</v>
      </c>
      <c r="L220" s="15">
        <v>3</v>
      </c>
      <c r="M220" s="15">
        <v>3</v>
      </c>
      <c r="N220" s="21">
        <v>3</v>
      </c>
      <c r="O220" s="15">
        <v>4</v>
      </c>
      <c r="P220" s="15">
        <v>3</v>
      </c>
      <c r="Q220" s="21">
        <v>4</v>
      </c>
      <c r="R220" s="15">
        <f t="shared" si="12"/>
        <v>4</v>
      </c>
      <c r="S220" s="15">
        <f t="shared" si="13"/>
        <v>3.6666666666666665</v>
      </c>
      <c r="T220" s="15">
        <f t="shared" si="14"/>
        <v>3</v>
      </c>
      <c r="U220" s="15">
        <f t="shared" si="15"/>
        <v>3.6666666666666665</v>
      </c>
    </row>
    <row r="221" spans="1:21" ht="54" x14ac:dyDescent="0.3">
      <c r="A221" s="15">
        <v>1019</v>
      </c>
      <c r="B221" s="15">
        <v>13496</v>
      </c>
      <c r="C221" s="15">
        <v>1</v>
      </c>
      <c r="D221" s="15" t="s">
        <v>11</v>
      </c>
      <c r="E221" s="20" t="s">
        <v>237</v>
      </c>
      <c r="F221" s="15">
        <v>3</v>
      </c>
      <c r="G221" s="15">
        <v>3</v>
      </c>
      <c r="H221" s="21">
        <v>3</v>
      </c>
      <c r="I221" s="15">
        <v>3</v>
      </c>
      <c r="J221" s="15">
        <v>3</v>
      </c>
      <c r="K221" s="21">
        <v>3</v>
      </c>
      <c r="L221" s="15">
        <v>2</v>
      </c>
      <c r="M221" s="15">
        <v>1</v>
      </c>
      <c r="N221" s="21">
        <v>3</v>
      </c>
      <c r="O221" s="15">
        <v>4</v>
      </c>
      <c r="P221" s="15">
        <v>3</v>
      </c>
      <c r="Q221" s="21">
        <v>3</v>
      </c>
      <c r="R221" s="15">
        <f t="shared" si="12"/>
        <v>3</v>
      </c>
      <c r="S221" s="15">
        <f t="shared" si="13"/>
        <v>3</v>
      </c>
      <c r="T221" s="15">
        <f t="shared" si="14"/>
        <v>2</v>
      </c>
      <c r="U221" s="15">
        <f t="shared" si="15"/>
        <v>3.3333333333333335</v>
      </c>
    </row>
    <row r="222" spans="1:21" ht="40.5" x14ac:dyDescent="0.3">
      <c r="A222" s="15">
        <v>13539</v>
      </c>
      <c r="B222" s="15">
        <v>10735</v>
      </c>
      <c r="C222" s="15">
        <v>1</v>
      </c>
      <c r="D222" s="15" t="s">
        <v>4</v>
      </c>
      <c r="E222" s="20" t="s">
        <v>238</v>
      </c>
      <c r="F222" s="15">
        <v>3</v>
      </c>
      <c r="G222" s="15">
        <v>3</v>
      </c>
      <c r="H222" s="21">
        <v>3</v>
      </c>
      <c r="I222" s="15">
        <v>3</v>
      </c>
      <c r="J222" s="15">
        <v>3</v>
      </c>
      <c r="K222" s="21">
        <v>3</v>
      </c>
      <c r="L222" s="15">
        <v>2</v>
      </c>
      <c r="M222" s="15">
        <v>3</v>
      </c>
      <c r="N222" s="21">
        <v>3</v>
      </c>
      <c r="O222" s="15">
        <v>3</v>
      </c>
      <c r="P222" s="15">
        <v>3</v>
      </c>
      <c r="Q222" s="21">
        <v>3</v>
      </c>
      <c r="R222" s="15">
        <f t="shared" si="12"/>
        <v>3</v>
      </c>
      <c r="S222" s="15">
        <f t="shared" si="13"/>
        <v>3</v>
      </c>
      <c r="T222" s="15">
        <f t="shared" si="14"/>
        <v>2.6666666666666665</v>
      </c>
      <c r="U222" s="15">
        <f t="shared" si="15"/>
        <v>3</v>
      </c>
    </row>
    <row r="223" spans="1:21" ht="67.5" x14ac:dyDescent="0.3">
      <c r="A223" s="15">
        <v>8583</v>
      </c>
      <c r="B223" s="15">
        <v>12415</v>
      </c>
      <c r="C223" s="15">
        <v>1</v>
      </c>
      <c r="D223" s="15" t="s">
        <v>40</v>
      </c>
      <c r="E223" s="20" t="s">
        <v>239</v>
      </c>
      <c r="F223" s="15">
        <v>3</v>
      </c>
      <c r="G223" s="15">
        <v>3</v>
      </c>
      <c r="H223" s="21">
        <v>5</v>
      </c>
      <c r="I223" s="15">
        <v>3</v>
      </c>
      <c r="J223" s="15">
        <v>3</v>
      </c>
      <c r="K223" s="21">
        <v>3</v>
      </c>
      <c r="L223" s="15">
        <v>2</v>
      </c>
      <c r="M223" s="15">
        <v>1</v>
      </c>
      <c r="N223" s="21">
        <v>3</v>
      </c>
      <c r="O223" s="15">
        <v>4</v>
      </c>
      <c r="P223" s="15">
        <v>3</v>
      </c>
      <c r="Q223" s="21">
        <v>5</v>
      </c>
      <c r="R223" s="15">
        <f t="shared" si="12"/>
        <v>3.6666666666666665</v>
      </c>
      <c r="S223" s="15">
        <f t="shared" si="13"/>
        <v>3</v>
      </c>
      <c r="T223" s="15">
        <f t="shared" si="14"/>
        <v>2</v>
      </c>
      <c r="U223" s="15">
        <f t="shared" si="15"/>
        <v>4</v>
      </c>
    </row>
    <row r="224" spans="1:21" ht="67.5" x14ac:dyDescent="0.3">
      <c r="A224" s="15">
        <v>1636</v>
      </c>
      <c r="B224" s="15">
        <v>13449</v>
      </c>
      <c r="C224" s="15">
        <v>1</v>
      </c>
      <c r="D224" s="15" t="s">
        <v>11</v>
      </c>
      <c r="E224" s="20" t="s">
        <v>240</v>
      </c>
      <c r="F224" s="15">
        <v>4</v>
      </c>
      <c r="G224" s="15">
        <v>3</v>
      </c>
      <c r="H224" s="21">
        <v>4</v>
      </c>
      <c r="I224" s="15">
        <v>3</v>
      </c>
      <c r="J224" s="15">
        <v>3</v>
      </c>
      <c r="K224" s="21">
        <v>3</v>
      </c>
      <c r="L224" s="15">
        <v>2</v>
      </c>
      <c r="M224" s="15">
        <v>1</v>
      </c>
      <c r="N224" s="21">
        <v>3</v>
      </c>
      <c r="O224" s="15">
        <v>4</v>
      </c>
      <c r="P224" s="15">
        <v>3</v>
      </c>
      <c r="Q224" s="21">
        <v>4</v>
      </c>
      <c r="R224" s="15">
        <f t="shared" si="12"/>
        <v>3.6666666666666665</v>
      </c>
      <c r="S224" s="15">
        <f t="shared" si="13"/>
        <v>3</v>
      </c>
      <c r="T224" s="15">
        <f t="shared" si="14"/>
        <v>2</v>
      </c>
      <c r="U224" s="15">
        <f t="shared" si="15"/>
        <v>3.6666666666666665</v>
      </c>
    </row>
    <row r="225" spans="1:21" ht="40.5" x14ac:dyDescent="0.3">
      <c r="A225" s="15">
        <v>19</v>
      </c>
      <c r="B225" s="15">
        <v>12260</v>
      </c>
      <c r="C225" s="15">
        <v>1</v>
      </c>
      <c r="D225" s="15" t="s">
        <v>4</v>
      </c>
      <c r="E225" s="20" t="s">
        <v>241</v>
      </c>
      <c r="F225" s="15">
        <v>3</v>
      </c>
      <c r="G225" s="15">
        <v>3</v>
      </c>
      <c r="H225" s="21">
        <v>3</v>
      </c>
      <c r="I225" s="15">
        <v>3</v>
      </c>
      <c r="J225" s="15">
        <v>3</v>
      </c>
      <c r="K225" s="21">
        <v>3</v>
      </c>
      <c r="L225" s="15">
        <v>2</v>
      </c>
      <c r="M225" s="15">
        <v>1</v>
      </c>
      <c r="N225" s="21">
        <v>3</v>
      </c>
      <c r="O225" s="15">
        <v>3</v>
      </c>
      <c r="P225" s="15">
        <v>3</v>
      </c>
      <c r="Q225" s="21">
        <v>3</v>
      </c>
      <c r="R225" s="15">
        <f t="shared" si="12"/>
        <v>3</v>
      </c>
      <c r="S225" s="15">
        <f t="shared" si="13"/>
        <v>3</v>
      </c>
      <c r="T225" s="15">
        <f t="shared" si="14"/>
        <v>2</v>
      </c>
      <c r="U225" s="15">
        <f t="shared" si="15"/>
        <v>3</v>
      </c>
    </row>
    <row r="226" spans="1:21" ht="27" x14ac:dyDescent="0.3">
      <c r="A226" s="15">
        <v>6573</v>
      </c>
      <c r="B226" s="15">
        <v>11179</v>
      </c>
      <c r="C226" s="15">
        <v>1</v>
      </c>
      <c r="D226" s="15" t="s">
        <v>4</v>
      </c>
      <c r="E226" s="20" t="s">
        <v>242</v>
      </c>
      <c r="F226" s="15">
        <v>3</v>
      </c>
      <c r="G226" s="15">
        <v>4</v>
      </c>
      <c r="H226" s="21">
        <v>4</v>
      </c>
      <c r="I226" s="15">
        <v>3</v>
      </c>
      <c r="J226" s="15">
        <v>3</v>
      </c>
      <c r="K226" s="21">
        <v>3</v>
      </c>
      <c r="L226" s="15">
        <v>1</v>
      </c>
      <c r="M226" s="15">
        <v>3</v>
      </c>
      <c r="N226" s="21">
        <v>3</v>
      </c>
      <c r="O226" s="15">
        <v>3</v>
      </c>
      <c r="P226" s="15">
        <v>4</v>
      </c>
      <c r="Q226" s="21">
        <v>4</v>
      </c>
      <c r="R226" s="15">
        <f t="shared" si="12"/>
        <v>3.6666666666666665</v>
      </c>
      <c r="S226" s="15">
        <f t="shared" si="13"/>
        <v>3</v>
      </c>
      <c r="T226" s="15">
        <f t="shared" si="14"/>
        <v>2.3333333333333335</v>
      </c>
      <c r="U226" s="15">
        <f t="shared" si="15"/>
        <v>3.6666666666666665</v>
      </c>
    </row>
    <row r="227" spans="1:21" ht="40.5" x14ac:dyDescent="0.3">
      <c r="A227" s="15">
        <v>14586</v>
      </c>
      <c r="B227" s="15">
        <v>10496</v>
      </c>
      <c r="C227" s="15">
        <v>1</v>
      </c>
      <c r="D227" s="15" t="s">
        <v>4</v>
      </c>
      <c r="E227" s="20" t="s">
        <v>243</v>
      </c>
      <c r="F227" s="15">
        <v>3</v>
      </c>
      <c r="G227" s="15">
        <v>2</v>
      </c>
      <c r="H227" s="21">
        <v>3</v>
      </c>
      <c r="I227" s="15">
        <v>3</v>
      </c>
      <c r="J227" s="15">
        <v>1</v>
      </c>
      <c r="K227" s="21">
        <v>3</v>
      </c>
      <c r="L227" s="15">
        <v>2</v>
      </c>
      <c r="M227" s="15">
        <v>2</v>
      </c>
      <c r="N227" s="21">
        <v>2</v>
      </c>
      <c r="O227" s="15">
        <v>3</v>
      </c>
      <c r="P227" s="15">
        <v>2</v>
      </c>
      <c r="Q227" s="21">
        <v>3</v>
      </c>
      <c r="R227" s="15">
        <f t="shared" si="12"/>
        <v>2.6666666666666665</v>
      </c>
      <c r="S227" s="15">
        <f t="shared" si="13"/>
        <v>2.3333333333333335</v>
      </c>
      <c r="T227" s="15">
        <f t="shared" si="14"/>
        <v>2</v>
      </c>
      <c r="U227" s="15">
        <f t="shared" si="15"/>
        <v>2.6666666666666665</v>
      </c>
    </row>
    <row r="228" spans="1:21" ht="67.5" x14ac:dyDescent="0.3">
      <c r="A228" s="15">
        <v>9120</v>
      </c>
      <c r="B228" s="15">
        <v>10871</v>
      </c>
      <c r="C228" s="15">
        <v>1</v>
      </c>
      <c r="D228" s="15" t="s">
        <v>191</v>
      </c>
      <c r="E228" s="20" t="s">
        <v>244</v>
      </c>
      <c r="F228" s="15">
        <v>4</v>
      </c>
      <c r="G228" s="15">
        <v>3</v>
      </c>
      <c r="H228" s="21">
        <v>5</v>
      </c>
      <c r="I228" s="15">
        <v>3</v>
      </c>
      <c r="J228" s="15">
        <v>3</v>
      </c>
      <c r="K228" s="21">
        <v>3</v>
      </c>
      <c r="L228" s="15">
        <v>2</v>
      </c>
      <c r="M228" s="15">
        <v>1</v>
      </c>
      <c r="N228" s="21">
        <v>3</v>
      </c>
      <c r="O228" s="15">
        <v>4</v>
      </c>
      <c r="P228" s="15">
        <v>3</v>
      </c>
      <c r="Q228" s="21">
        <v>5</v>
      </c>
      <c r="R228" s="15">
        <f t="shared" si="12"/>
        <v>4</v>
      </c>
      <c r="S228" s="15">
        <f t="shared" si="13"/>
        <v>3</v>
      </c>
      <c r="T228" s="15">
        <f t="shared" si="14"/>
        <v>2</v>
      </c>
      <c r="U228" s="15">
        <f t="shared" si="15"/>
        <v>4</v>
      </c>
    </row>
    <row r="229" spans="1:21" ht="54" x14ac:dyDescent="0.3">
      <c r="A229" s="15">
        <v>7199</v>
      </c>
      <c r="B229" s="15">
        <v>14041</v>
      </c>
      <c r="C229" s="15">
        <v>1</v>
      </c>
      <c r="D229" s="15" t="s">
        <v>245</v>
      </c>
      <c r="E229" s="20" t="s">
        <v>246</v>
      </c>
      <c r="F229" s="15">
        <v>3</v>
      </c>
      <c r="G229" s="15">
        <v>3</v>
      </c>
      <c r="H229" s="21">
        <v>3</v>
      </c>
      <c r="I229" s="15">
        <v>3</v>
      </c>
      <c r="J229" s="15">
        <v>1</v>
      </c>
      <c r="K229" s="21">
        <v>3</v>
      </c>
      <c r="L229" s="15">
        <v>2</v>
      </c>
      <c r="M229" s="15">
        <v>1</v>
      </c>
      <c r="N229" s="21">
        <v>3</v>
      </c>
      <c r="O229" s="15">
        <v>4</v>
      </c>
      <c r="P229" s="15">
        <v>3</v>
      </c>
      <c r="Q229" s="21">
        <v>4</v>
      </c>
      <c r="R229" s="15">
        <f t="shared" si="12"/>
        <v>3</v>
      </c>
      <c r="S229" s="15">
        <f t="shared" si="13"/>
        <v>2.3333333333333335</v>
      </c>
      <c r="T229" s="15">
        <f t="shared" si="14"/>
        <v>2</v>
      </c>
      <c r="U229" s="15">
        <f t="shared" si="15"/>
        <v>3.6666666666666665</v>
      </c>
    </row>
    <row r="230" spans="1:21" ht="27" x14ac:dyDescent="0.3">
      <c r="A230" s="15">
        <v>13176</v>
      </c>
      <c r="B230" s="15">
        <v>14403</v>
      </c>
      <c r="C230" s="15">
        <v>1</v>
      </c>
      <c r="D230" s="15" t="s">
        <v>4</v>
      </c>
      <c r="E230" s="20" t="s">
        <v>247</v>
      </c>
      <c r="F230" s="15">
        <v>3</v>
      </c>
      <c r="G230" s="15">
        <v>3</v>
      </c>
      <c r="H230" s="21">
        <v>3</v>
      </c>
      <c r="I230" s="15">
        <v>3</v>
      </c>
      <c r="J230" s="15">
        <v>3</v>
      </c>
      <c r="K230" s="21">
        <v>3</v>
      </c>
      <c r="L230" s="15">
        <v>2</v>
      </c>
      <c r="M230" s="15">
        <v>1</v>
      </c>
      <c r="N230" s="21">
        <v>1</v>
      </c>
      <c r="O230" s="15">
        <v>4</v>
      </c>
      <c r="P230" s="15">
        <v>3</v>
      </c>
      <c r="Q230" s="21">
        <v>3</v>
      </c>
      <c r="R230" s="15">
        <f t="shared" si="12"/>
        <v>3</v>
      </c>
      <c r="S230" s="15">
        <f t="shared" si="13"/>
        <v>3</v>
      </c>
      <c r="T230" s="15">
        <f t="shared" si="14"/>
        <v>1.3333333333333333</v>
      </c>
      <c r="U230" s="15">
        <f t="shared" si="15"/>
        <v>3.3333333333333335</v>
      </c>
    </row>
    <row r="231" spans="1:21" ht="67.5" x14ac:dyDescent="0.3">
      <c r="A231" s="15">
        <v>5816</v>
      </c>
      <c r="B231" s="15">
        <v>11475</v>
      </c>
      <c r="C231" s="15">
        <v>1</v>
      </c>
      <c r="D231" s="15" t="s">
        <v>4</v>
      </c>
      <c r="E231" s="20" t="s">
        <v>248</v>
      </c>
      <c r="F231" s="15">
        <v>4</v>
      </c>
      <c r="G231" s="15">
        <v>3</v>
      </c>
      <c r="H231" s="21">
        <v>4</v>
      </c>
      <c r="I231" s="15">
        <v>3</v>
      </c>
      <c r="J231" s="15">
        <v>1</v>
      </c>
      <c r="K231" s="21">
        <v>3</v>
      </c>
      <c r="L231" s="15">
        <v>2</v>
      </c>
      <c r="M231" s="15">
        <v>1</v>
      </c>
      <c r="N231" s="21">
        <v>3</v>
      </c>
      <c r="O231" s="15">
        <v>4</v>
      </c>
      <c r="P231" s="15">
        <v>3</v>
      </c>
      <c r="Q231" s="21">
        <v>4</v>
      </c>
      <c r="R231" s="15">
        <f t="shared" si="12"/>
        <v>3.6666666666666665</v>
      </c>
      <c r="S231" s="15">
        <f t="shared" si="13"/>
        <v>2.3333333333333335</v>
      </c>
      <c r="T231" s="15">
        <f t="shared" si="14"/>
        <v>2</v>
      </c>
      <c r="U231" s="15">
        <f t="shared" si="15"/>
        <v>3.6666666666666665</v>
      </c>
    </row>
    <row r="232" spans="1:21" ht="67.5" x14ac:dyDescent="0.3">
      <c r="A232" s="15">
        <v>2211</v>
      </c>
      <c r="B232" s="15">
        <v>13219</v>
      </c>
      <c r="C232" s="15">
        <v>1</v>
      </c>
      <c r="D232" s="15" t="s">
        <v>11</v>
      </c>
      <c r="E232" s="20" t="s">
        <v>249</v>
      </c>
      <c r="F232" s="15">
        <v>4</v>
      </c>
      <c r="G232" s="15">
        <v>3</v>
      </c>
      <c r="H232" s="21">
        <v>3</v>
      </c>
      <c r="I232" s="15">
        <v>4</v>
      </c>
      <c r="J232" s="15">
        <v>3</v>
      </c>
      <c r="K232" s="21">
        <v>3</v>
      </c>
      <c r="L232" s="15">
        <v>2</v>
      </c>
      <c r="M232" s="15">
        <v>1</v>
      </c>
      <c r="N232" s="21">
        <v>3</v>
      </c>
      <c r="O232" s="15">
        <v>4</v>
      </c>
      <c r="P232" s="15">
        <v>3</v>
      </c>
      <c r="Q232" s="21">
        <v>3</v>
      </c>
      <c r="R232" s="15">
        <f t="shared" si="12"/>
        <v>3.3333333333333335</v>
      </c>
      <c r="S232" s="15">
        <f t="shared" si="13"/>
        <v>3.3333333333333335</v>
      </c>
      <c r="T232" s="15">
        <f t="shared" si="14"/>
        <v>2</v>
      </c>
      <c r="U232" s="15">
        <f t="shared" si="15"/>
        <v>3.3333333333333335</v>
      </c>
    </row>
    <row r="233" spans="1:21" ht="81" x14ac:dyDescent="0.3">
      <c r="A233" s="15">
        <v>11875</v>
      </c>
      <c r="B233" s="15">
        <v>10435</v>
      </c>
      <c r="C233" s="15">
        <v>1</v>
      </c>
      <c r="D233" s="15" t="s">
        <v>4</v>
      </c>
      <c r="E233" s="20" t="s">
        <v>250</v>
      </c>
      <c r="F233" s="15">
        <v>4</v>
      </c>
      <c r="G233" s="15">
        <v>4</v>
      </c>
      <c r="H233" s="21">
        <v>5</v>
      </c>
      <c r="I233" s="15">
        <v>4</v>
      </c>
      <c r="J233" s="15">
        <v>3</v>
      </c>
      <c r="K233" s="21">
        <v>5</v>
      </c>
      <c r="L233" s="15">
        <v>2</v>
      </c>
      <c r="M233" s="15">
        <v>1</v>
      </c>
      <c r="N233" s="21">
        <v>3</v>
      </c>
      <c r="O233" s="15">
        <v>3</v>
      </c>
      <c r="P233" s="15">
        <v>3</v>
      </c>
      <c r="Q233" s="21">
        <v>5</v>
      </c>
      <c r="R233" s="15">
        <f t="shared" si="12"/>
        <v>4.333333333333333</v>
      </c>
      <c r="S233" s="15">
        <f t="shared" si="13"/>
        <v>4</v>
      </c>
      <c r="T233" s="15">
        <f t="shared" si="14"/>
        <v>2</v>
      </c>
      <c r="U233" s="15">
        <f t="shared" si="15"/>
        <v>3.6666666666666665</v>
      </c>
    </row>
    <row r="234" spans="1:21" ht="81" x14ac:dyDescent="0.3">
      <c r="A234" s="15">
        <v>2651</v>
      </c>
      <c r="B234" s="15">
        <v>13709</v>
      </c>
      <c r="C234" s="15">
        <v>1</v>
      </c>
      <c r="D234" s="15" t="s">
        <v>11</v>
      </c>
      <c r="E234" s="20" t="s">
        <v>251</v>
      </c>
      <c r="F234" s="15">
        <v>3</v>
      </c>
      <c r="G234" s="15">
        <v>3</v>
      </c>
      <c r="H234" s="21">
        <v>4</v>
      </c>
      <c r="I234" s="15">
        <v>3</v>
      </c>
      <c r="J234" s="15">
        <v>3</v>
      </c>
      <c r="K234" s="21">
        <v>5</v>
      </c>
      <c r="L234" s="15">
        <v>2</v>
      </c>
      <c r="M234" s="15">
        <v>1</v>
      </c>
      <c r="N234" s="21">
        <v>3</v>
      </c>
      <c r="O234" s="15">
        <v>4</v>
      </c>
      <c r="P234" s="15">
        <v>3</v>
      </c>
      <c r="Q234" s="21">
        <v>3</v>
      </c>
      <c r="R234" s="15">
        <f t="shared" si="12"/>
        <v>3.3333333333333335</v>
      </c>
      <c r="S234" s="15">
        <f t="shared" si="13"/>
        <v>3.6666666666666665</v>
      </c>
      <c r="T234" s="15">
        <f t="shared" si="14"/>
        <v>2</v>
      </c>
      <c r="U234" s="15">
        <f t="shared" si="15"/>
        <v>3.3333333333333335</v>
      </c>
    </row>
    <row r="235" spans="1:21" ht="54" x14ac:dyDescent="0.3">
      <c r="A235" s="15">
        <v>8021</v>
      </c>
      <c r="B235" s="15">
        <v>12706</v>
      </c>
      <c r="C235" s="15">
        <v>1</v>
      </c>
      <c r="D235" s="15" t="s">
        <v>32</v>
      </c>
      <c r="E235" s="20" t="s">
        <v>252</v>
      </c>
      <c r="F235" s="15">
        <v>3</v>
      </c>
      <c r="G235" s="15">
        <v>3</v>
      </c>
      <c r="H235" s="21">
        <v>3</v>
      </c>
      <c r="I235" s="15">
        <v>3</v>
      </c>
      <c r="J235" s="15">
        <v>3</v>
      </c>
      <c r="K235" s="21">
        <v>3</v>
      </c>
      <c r="L235" s="15">
        <v>2</v>
      </c>
      <c r="M235" s="15">
        <v>1</v>
      </c>
      <c r="N235" s="21">
        <v>3</v>
      </c>
      <c r="O235" s="15">
        <v>3</v>
      </c>
      <c r="P235" s="15">
        <v>3</v>
      </c>
      <c r="Q235" s="21">
        <v>3</v>
      </c>
      <c r="R235" s="15">
        <f t="shared" si="12"/>
        <v>3</v>
      </c>
      <c r="S235" s="15">
        <f t="shared" si="13"/>
        <v>3</v>
      </c>
      <c r="T235" s="15">
        <f t="shared" si="14"/>
        <v>2</v>
      </c>
      <c r="U235" s="15">
        <f t="shared" si="15"/>
        <v>3</v>
      </c>
    </row>
    <row r="236" spans="1:21" ht="81" x14ac:dyDescent="0.3">
      <c r="A236" s="15">
        <v>2438</v>
      </c>
      <c r="B236" s="15">
        <v>12174</v>
      </c>
      <c r="C236" s="15">
        <v>1</v>
      </c>
      <c r="D236" s="15" t="s">
        <v>13</v>
      </c>
      <c r="E236" s="20" t="s">
        <v>253</v>
      </c>
      <c r="F236" s="15">
        <v>4</v>
      </c>
      <c r="G236" s="15">
        <v>3</v>
      </c>
      <c r="H236" s="21">
        <v>4</v>
      </c>
      <c r="I236" s="15">
        <v>3</v>
      </c>
      <c r="J236" s="15">
        <v>3</v>
      </c>
      <c r="K236" s="21">
        <v>3</v>
      </c>
      <c r="L236" s="15">
        <v>2</v>
      </c>
      <c r="M236" s="15">
        <v>1</v>
      </c>
      <c r="N236" s="21">
        <v>3</v>
      </c>
      <c r="O236" s="15">
        <v>3</v>
      </c>
      <c r="P236" s="15">
        <v>3</v>
      </c>
      <c r="Q236" s="21">
        <v>4</v>
      </c>
      <c r="R236" s="15">
        <f t="shared" si="12"/>
        <v>3.6666666666666665</v>
      </c>
      <c r="S236" s="15">
        <f t="shared" si="13"/>
        <v>3</v>
      </c>
      <c r="T236" s="15">
        <f t="shared" si="14"/>
        <v>2</v>
      </c>
      <c r="U236" s="15">
        <f t="shared" si="15"/>
        <v>3.3333333333333335</v>
      </c>
    </row>
    <row r="237" spans="1:21" ht="67.5" x14ac:dyDescent="0.3">
      <c r="A237" s="15">
        <v>6888</v>
      </c>
      <c r="B237" s="15">
        <v>13989</v>
      </c>
      <c r="C237" s="15">
        <v>1</v>
      </c>
      <c r="D237" s="15" t="s">
        <v>11</v>
      </c>
      <c r="E237" s="20" t="s">
        <v>254</v>
      </c>
      <c r="F237" s="15">
        <v>3</v>
      </c>
      <c r="G237" s="15">
        <v>3</v>
      </c>
      <c r="H237" s="21">
        <v>4</v>
      </c>
      <c r="I237" s="15">
        <v>3</v>
      </c>
      <c r="J237" s="15">
        <v>3</v>
      </c>
      <c r="K237" s="21">
        <v>3</v>
      </c>
      <c r="L237" s="15">
        <v>2</v>
      </c>
      <c r="M237" s="15">
        <v>1</v>
      </c>
      <c r="N237" s="21">
        <v>3</v>
      </c>
      <c r="O237" s="15">
        <v>4</v>
      </c>
      <c r="P237" s="15">
        <v>3</v>
      </c>
      <c r="Q237" s="21">
        <v>4</v>
      </c>
      <c r="R237" s="15">
        <f t="shared" si="12"/>
        <v>3.3333333333333335</v>
      </c>
      <c r="S237" s="15">
        <f t="shared" si="13"/>
        <v>3</v>
      </c>
      <c r="T237" s="15">
        <f t="shared" si="14"/>
        <v>2</v>
      </c>
      <c r="U237" s="15">
        <f t="shared" si="15"/>
        <v>3.6666666666666665</v>
      </c>
    </row>
    <row r="238" spans="1:21" ht="81" x14ac:dyDescent="0.3">
      <c r="A238" s="15">
        <v>550</v>
      </c>
      <c r="B238" s="15">
        <v>14996</v>
      </c>
      <c r="C238" s="15">
        <v>1</v>
      </c>
      <c r="D238" s="15" t="s">
        <v>4</v>
      </c>
      <c r="E238" s="20" t="s">
        <v>255</v>
      </c>
      <c r="F238" s="15">
        <v>4</v>
      </c>
      <c r="G238" s="15">
        <v>3</v>
      </c>
      <c r="H238" s="21">
        <v>4</v>
      </c>
      <c r="I238" s="15">
        <v>3</v>
      </c>
      <c r="J238" s="15">
        <v>3</v>
      </c>
      <c r="K238" s="21">
        <v>3</v>
      </c>
      <c r="L238" s="15">
        <v>2</v>
      </c>
      <c r="M238" s="15">
        <v>3</v>
      </c>
      <c r="N238" s="21">
        <v>3</v>
      </c>
      <c r="O238" s="15">
        <v>4</v>
      </c>
      <c r="P238" s="15">
        <v>3</v>
      </c>
      <c r="Q238" s="21">
        <v>4</v>
      </c>
      <c r="R238" s="15">
        <f t="shared" si="12"/>
        <v>3.6666666666666665</v>
      </c>
      <c r="S238" s="15">
        <f t="shared" si="13"/>
        <v>3</v>
      </c>
      <c r="T238" s="15">
        <f t="shared" si="14"/>
        <v>2.6666666666666665</v>
      </c>
      <c r="U238" s="15">
        <f t="shared" si="15"/>
        <v>3.6666666666666665</v>
      </c>
    </row>
    <row r="239" spans="1:21" ht="40.5" x14ac:dyDescent="0.3">
      <c r="A239" s="15">
        <v>5613</v>
      </c>
      <c r="B239" s="15">
        <v>11963</v>
      </c>
      <c r="C239" s="15">
        <v>1</v>
      </c>
      <c r="D239" s="15" t="s">
        <v>40</v>
      </c>
      <c r="E239" s="20" t="s">
        <v>256</v>
      </c>
      <c r="F239" s="15">
        <v>3</v>
      </c>
      <c r="G239" s="15">
        <v>3</v>
      </c>
      <c r="H239" s="21">
        <v>3</v>
      </c>
      <c r="I239" s="15">
        <v>3</v>
      </c>
      <c r="J239" s="15">
        <v>3</v>
      </c>
      <c r="K239" s="21">
        <v>3</v>
      </c>
      <c r="L239" s="15">
        <v>2</v>
      </c>
      <c r="M239" s="15">
        <v>3</v>
      </c>
      <c r="N239" s="21">
        <v>1</v>
      </c>
      <c r="O239" s="15">
        <v>3</v>
      </c>
      <c r="P239" s="15">
        <v>3</v>
      </c>
      <c r="Q239" s="21">
        <v>3</v>
      </c>
      <c r="R239" s="15">
        <f t="shared" si="12"/>
        <v>3</v>
      </c>
      <c r="S239" s="15">
        <f t="shared" si="13"/>
        <v>3</v>
      </c>
      <c r="T239" s="15">
        <f t="shared" si="14"/>
        <v>2</v>
      </c>
      <c r="U239" s="15">
        <f t="shared" si="15"/>
        <v>3</v>
      </c>
    </row>
    <row r="240" spans="1:21" ht="27" x14ac:dyDescent="0.3">
      <c r="A240" s="15">
        <v>10676</v>
      </c>
      <c r="B240" s="15">
        <v>11453</v>
      </c>
      <c r="C240" s="15">
        <v>1</v>
      </c>
      <c r="D240" s="15" t="s">
        <v>4</v>
      </c>
      <c r="E240" s="20" t="s">
        <v>257</v>
      </c>
      <c r="F240" s="15">
        <v>3</v>
      </c>
      <c r="G240" s="15">
        <v>3</v>
      </c>
      <c r="H240" s="21">
        <v>3</v>
      </c>
      <c r="I240" s="15">
        <v>4</v>
      </c>
      <c r="J240" s="15">
        <v>3</v>
      </c>
      <c r="K240" s="21">
        <v>3</v>
      </c>
      <c r="L240" s="15">
        <v>2</v>
      </c>
      <c r="M240" s="15">
        <v>3</v>
      </c>
      <c r="N240" s="21">
        <v>1</v>
      </c>
      <c r="O240" s="15">
        <v>4</v>
      </c>
      <c r="P240" s="15">
        <v>3</v>
      </c>
      <c r="Q240" s="21">
        <v>3</v>
      </c>
      <c r="R240" s="15">
        <f t="shared" si="12"/>
        <v>3</v>
      </c>
      <c r="S240" s="15">
        <f t="shared" si="13"/>
        <v>3.3333333333333335</v>
      </c>
      <c r="T240" s="15">
        <f t="shared" si="14"/>
        <v>2</v>
      </c>
      <c r="U240" s="15">
        <f t="shared" si="15"/>
        <v>3.3333333333333335</v>
      </c>
    </row>
    <row r="241" spans="1:21" ht="27" x14ac:dyDescent="0.3">
      <c r="A241" s="15">
        <v>17122</v>
      </c>
      <c r="B241" s="15">
        <v>10205</v>
      </c>
      <c r="C241" s="15">
        <v>1</v>
      </c>
      <c r="D241" s="15" t="s">
        <v>4</v>
      </c>
      <c r="E241" s="20" t="s">
        <v>258</v>
      </c>
      <c r="F241" s="15">
        <v>3</v>
      </c>
      <c r="G241" s="15">
        <v>2</v>
      </c>
      <c r="H241" s="21">
        <v>3</v>
      </c>
      <c r="I241" s="15">
        <v>3</v>
      </c>
      <c r="J241" s="15">
        <v>3</v>
      </c>
      <c r="K241" s="21">
        <v>3</v>
      </c>
      <c r="L241" s="15">
        <v>2</v>
      </c>
      <c r="M241" s="15">
        <v>1</v>
      </c>
      <c r="N241" s="21">
        <v>3</v>
      </c>
      <c r="O241" s="15">
        <v>3</v>
      </c>
      <c r="P241" s="15">
        <v>2</v>
      </c>
      <c r="Q241" s="21">
        <v>4</v>
      </c>
      <c r="R241" s="15">
        <f t="shared" si="12"/>
        <v>2.6666666666666665</v>
      </c>
      <c r="S241" s="15">
        <f t="shared" si="13"/>
        <v>3</v>
      </c>
      <c r="T241" s="15">
        <f t="shared" si="14"/>
        <v>2</v>
      </c>
      <c r="U241" s="15">
        <f t="shared" si="15"/>
        <v>3</v>
      </c>
    </row>
    <row r="242" spans="1:21" ht="135" x14ac:dyDescent="0.3">
      <c r="A242" s="15">
        <v>8866</v>
      </c>
      <c r="B242" s="15">
        <v>11710</v>
      </c>
      <c r="C242" s="15">
        <v>1</v>
      </c>
      <c r="D242" s="15" t="s">
        <v>4</v>
      </c>
      <c r="E242" s="20" t="s">
        <v>259</v>
      </c>
      <c r="F242" s="15">
        <v>4</v>
      </c>
      <c r="G242" s="15">
        <v>4</v>
      </c>
      <c r="H242" s="21">
        <v>4</v>
      </c>
      <c r="I242" s="15">
        <v>4</v>
      </c>
      <c r="J242" s="15">
        <v>3</v>
      </c>
      <c r="K242" s="21">
        <v>5</v>
      </c>
      <c r="L242" s="15">
        <v>2</v>
      </c>
      <c r="M242" s="15">
        <v>1</v>
      </c>
      <c r="N242" s="21">
        <v>3</v>
      </c>
      <c r="O242" s="15">
        <v>4</v>
      </c>
      <c r="P242" s="15">
        <v>4</v>
      </c>
      <c r="Q242" s="21">
        <v>5</v>
      </c>
      <c r="R242" s="15">
        <f t="shared" si="12"/>
        <v>4</v>
      </c>
      <c r="S242" s="15">
        <f t="shared" si="13"/>
        <v>4</v>
      </c>
      <c r="T242" s="15">
        <f t="shared" si="14"/>
        <v>2</v>
      </c>
      <c r="U242" s="15">
        <f t="shared" si="15"/>
        <v>4.333333333333333</v>
      </c>
    </row>
    <row r="243" spans="1:21" ht="67.5" x14ac:dyDescent="0.3">
      <c r="A243" s="15">
        <v>2217</v>
      </c>
      <c r="B243" s="15">
        <v>13109</v>
      </c>
      <c r="C243" s="15">
        <v>1</v>
      </c>
      <c r="D243" s="15" t="s">
        <v>11</v>
      </c>
      <c r="E243" s="20" t="s">
        <v>260</v>
      </c>
      <c r="F243" s="15">
        <v>4</v>
      </c>
      <c r="G243" s="15">
        <v>3</v>
      </c>
      <c r="H243" s="21">
        <v>3</v>
      </c>
      <c r="I243" s="15">
        <v>3</v>
      </c>
      <c r="J243" s="15">
        <v>3</v>
      </c>
      <c r="K243" s="21">
        <v>3</v>
      </c>
      <c r="L243" s="15">
        <v>2</v>
      </c>
      <c r="M243" s="15">
        <v>1</v>
      </c>
      <c r="N243" s="21">
        <v>3</v>
      </c>
      <c r="O243" s="15">
        <v>4</v>
      </c>
      <c r="P243" s="15">
        <v>3</v>
      </c>
      <c r="Q243" s="21">
        <v>3</v>
      </c>
      <c r="R243" s="15">
        <f t="shared" si="12"/>
        <v>3.3333333333333335</v>
      </c>
      <c r="S243" s="15">
        <f t="shared" si="13"/>
        <v>3</v>
      </c>
      <c r="T243" s="15">
        <f t="shared" si="14"/>
        <v>2</v>
      </c>
      <c r="U243" s="15">
        <f t="shared" si="15"/>
        <v>3.3333333333333335</v>
      </c>
    </row>
    <row r="244" spans="1:21" ht="54" x14ac:dyDescent="0.3">
      <c r="A244" s="15">
        <v>382</v>
      </c>
      <c r="B244" s="15">
        <v>15052</v>
      </c>
      <c r="C244" s="15">
        <v>1</v>
      </c>
      <c r="D244" s="15" t="s">
        <v>4</v>
      </c>
      <c r="E244" s="20" t="s">
        <v>261</v>
      </c>
      <c r="F244" s="15">
        <v>4</v>
      </c>
      <c r="G244" s="15">
        <v>3</v>
      </c>
      <c r="H244" s="21">
        <v>3</v>
      </c>
      <c r="I244" s="15">
        <v>3</v>
      </c>
      <c r="J244" s="15">
        <v>3</v>
      </c>
      <c r="K244" s="21">
        <v>3</v>
      </c>
      <c r="L244" s="15">
        <v>2</v>
      </c>
      <c r="M244" s="15">
        <v>1</v>
      </c>
      <c r="N244" s="21">
        <v>1</v>
      </c>
      <c r="O244" s="15">
        <v>4</v>
      </c>
      <c r="P244" s="15">
        <v>3</v>
      </c>
      <c r="Q244" s="21">
        <v>3</v>
      </c>
      <c r="R244" s="15">
        <f t="shared" si="12"/>
        <v>3.3333333333333335</v>
      </c>
      <c r="S244" s="15">
        <f t="shared" si="13"/>
        <v>3</v>
      </c>
      <c r="T244" s="15">
        <f t="shared" si="14"/>
        <v>1.3333333333333333</v>
      </c>
      <c r="U244" s="15">
        <f t="shared" si="15"/>
        <v>3.3333333333333335</v>
      </c>
    </row>
    <row r="245" spans="1:21" ht="40.5" x14ac:dyDescent="0.3">
      <c r="A245" s="15">
        <v>14491</v>
      </c>
      <c r="B245" s="15">
        <v>11720</v>
      </c>
      <c r="C245" s="15">
        <v>1</v>
      </c>
      <c r="D245" s="15" t="s">
        <v>50</v>
      </c>
      <c r="E245" s="20" t="s">
        <v>262</v>
      </c>
      <c r="F245" s="15">
        <v>3</v>
      </c>
      <c r="G245" s="15">
        <v>3</v>
      </c>
      <c r="H245" s="21">
        <v>3</v>
      </c>
      <c r="I245" s="15">
        <v>3</v>
      </c>
      <c r="J245" s="15">
        <v>1</v>
      </c>
      <c r="K245" s="21">
        <v>3</v>
      </c>
      <c r="L245" s="15">
        <v>2</v>
      </c>
      <c r="M245" s="15">
        <v>1</v>
      </c>
      <c r="N245" s="21">
        <v>3</v>
      </c>
      <c r="O245" s="15">
        <v>4</v>
      </c>
      <c r="P245" s="15">
        <v>3</v>
      </c>
      <c r="Q245" s="21">
        <v>3</v>
      </c>
      <c r="R245" s="15">
        <f t="shared" si="12"/>
        <v>3</v>
      </c>
      <c r="S245" s="15">
        <f t="shared" si="13"/>
        <v>2.3333333333333335</v>
      </c>
      <c r="T245" s="15">
        <f t="shared" si="14"/>
        <v>2</v>
      </c>
      <c r="U245" s="15">
        <f t="shared" si="15"/>
        <v>3.3333333333333335</v>
      </c>
    </row>
    <row r="246" spans="1:21" ht="40.5" x14ac:dyDescent="0.3">
      <c r="A246" s="15">
        <v>660</v>
      </c>
      <c r="B246" s="15">
        <v>11215</v>
      </c>
      <c r="C246" s="15">
        <v>1</v>
      </c>
      <c r="D246" s="15" t="s">
        <v>4</v>
      </c>
      <c r="E246" s="20" t="s">
        <v>263</v>
      </c>
      <c r="F246" s="15">
        <v>3</v>
      </c>
      <c r="G246" s="15">
        <v>3</v>
      </c>
      <c r="H246" s="21">
        <v>3</v>
      </c>
      <c r="I246" s="15">
        <v>3</v>
      </c>
      <c r="J246" s="15">
        <v>3</v>
      </c>
      <c r="K246" s="21">
        <v>3</v>
      </c>
      <c r="L246" s="15">
        <v>2</v>
      </c>
      <c r="M246" s="15">
        <v>1</v>
      </c>
      <c r="N246" s="21">
        <v>3</v>
      </c>
      <c r="O246" s="15">
        <v>3</v>
      </c>
      <c r="P246" s="15">
        <v>3</v>
      </c>
      <c r="Q246" s="21">
        <v>3</v>
      </c>
      <c r="R246" s="15">
        <f t="shared" si="12"/>
        <v>3</v>
      </c>
      <c r="S246" s="15">
        <f t="shared" si="13"/>
        <v>3</v>
      </c>
      <c r="T246" s="15">
        <f t="shared" si="14"/>
        <v>2</v>
      </c>
      <c r="U246" s="15">
        <f t="shared" si="15"/>
        <v>3</v>
      </c>
    </row>
    <row r="247" spans="1:21" ht="54" x14ac:dyDescent="0.3">
      <c r="A247" s="15">
        <v>6531</v>
      </c>
      <c r="B247" s="15">
        <v>13701</v>
      </c>
      <c r="C247" s="15">
        <v>1</v>
      </c>
      <c r="D247" s="15" t="s">
        <v>11</v>
      </c>
      <c r="E247" s="20" t="s">
        <v>264</v>
      </c>
      <c r="F247" s="15">
        <v>3</v>
      </c>
      <c r="G247" s="15">
        <v>3</v>
      </c>
      <c r="H247" s="21">
        <v>3</v>
      </c>
      <c r="I247" s="15">
        <v>4</v>
      </c>
      <c r="J247" s="15">
        <v>1</v>
      </c>
      <c r="K247" s="21">
        <v>3</v>
      </c>
      <c r="L247" s="15">
        <v>2</v>
      </c>
      <c r="M247" s="15">
        <v>1</v>
      </c>
      <c r="N247" s="21">
        <v>1</v>
      </c>
      <c r="O247" s="15">
        <v>4</v>
      </c>
      <c r="P247" s="15">
        <v>3</v>
      </c>
      <c r="Q247" s="21">
        <v>3</v>
      </c>
      <c r="R247" s="15">
        <f t="shared" si="12"/>
        <v>3</v>
      </c>
      <c r="S247" s="15">
        <f t="shared" si="13"/>
        <v>2.6666666666666665</v>
      </c>
      <c r="T247" s="15">
        <f t="shared" si="14"/>
        <v>1.3333333333333333</v>
      </c>
      <c r="U247" s="15">
        <f t="shared" si="15"/>
        <v>3.3333333333333335</v>
      </c>
    </row>
    <row r="248" spans="1:21" ht="121.5" x14ac:dyDescent="0.3">
      <c r="A248" s="15">
        <v>11611</v>
      </c>
      <c r="B248" s="15">
        <v>11185</v>
      </c>
      <c r="C248" s="15">
        <v>1</v>
      </c>
      <c r="D248" s="15" t="s">
        <v>4</v>
      </c>
      <c r="E248" s="20" t="s">
        <v>265</v>
      </c>
      <c r="F248" s="15">
        <v>4</v>
      </c>
      <c r="G248" s="15">
        <v>4</v>
      </c>
      <c r="H248" s="21">
        <v>4</v>
      </c>
      <c r="I248" s="15">
        <v>4</v>
      </c>
      <c r="J248" s="15">
        <v>3</v>
      </c>
      <c r="K248" s="21">
        <v>5</v>
      </c>
      <c r="L248" s="15">
        <v>2</v>
      </c>
      <c r="M248" s="15">
        <v>1</v>
      </c>
      <c r="N248" s="21">
        <v>3</v>
      </c>
      <c r="O248" s="15">
        <v>4</v>
      </c>
      <c r="P248" s="15">
        <v>3</v>
      </c>
      <c r="Q248" s="21">
        <v>5</v>
      </c>
      <c r="R248" s="15">
        <f t="shared" si="12"/>
        <v>4</v>
      </c>
      <c r="S248" s="15">
        <f t="shared" si="13"/>
        <v>4</v>
      </c>
      <c r="T248" s="15">
        <f t="shared" si="14"/>
        <v>2</v>
      </c>
      <c r="U248" s="15">
        <f t="shared" si="15"/>
        <v>4</v>
      </c>
    </row>
    <row r="249" spans="1:21" ht="40.5" x14ac:dyDescent="0.3">
      <c r="A249" s="15">
        <v>10677</v>
      </c>
      <c r="B249" s="15">
        <v>14036</v>
      </c>
      <c r="C249" s="15">
        <v>1</v>
      </c>
      <c r="D249" s="15" t="s">
        <v>11</v>
      </c>
      <c r="E249" s="20" t="s">
        <v>266</v>
      </c>
      <c r="F249" s="15">
        <v>3</v>
      </c>
      <c r="G249" s="15">
        <v>3</v>
      </c>
      <c r="H249" s="21">
        <v>3</v>
      </c>
      <c r="I249" s="15">
        <v>3</v>
      </c>
      <c r="J249" s="15">
        <v>3</v>
      </c>
      <c r="K249" s="21">
        <v>3</v>
      </c>
      <c r="L249" s="15">
        <v>2</v>
      </c>
      <c r="M249" s="15">
        <v>1</v>
      </c>
      <c r="N249" s="21">
        <v>3</v>
      </c>
      <c r="O249" s="15">
        <v>4</v>
      </c>
      <c r="P249" s="15">
        <v>3</v>
      </c>
      <c r="Q249" s="21">
        <v>4</v>
      </c>
      <c r="R249" s="15">
        <f t="shared" si="12"/>
        <v>3</v>
      </c>
      <c r="S249" s="15">
        <f t="shared" si="13"/>
        <v>3</v>
      </c>
      <c r="T249" s="15">
        <f t="shared" si="14"/>
        <v>2</v>
      </c>
      <c r="U249" s="15">
        <f t="shared" si="15"/>
        <v>3.6666666666666665</v>
      </c>
    </row>
    <row r="250" spans="1:21" ht="81" x14ac:dyDescent="0.3">
      <c r="A250" s="15">
        <v>17035</v>
      </c>
      <c r="B250" s="15">
        <v>10914</v>
      </c>
      <c r="C250" s="15">
        <v>1</v>
      </c>
      <c r="D250" s="15" t="s">
        <v>231</v>
      </c>
      <c r="E250" s="20" t="s">
        <v>267</v>
      </c>
      <c r="F250" s="15">
        <v>4</v>
      </c>
      <c r="G250" s="15">
        <v>4</v>
      </c>
      <c r="H250" s="21">
        <v>5</v>
      </c>
      <c r="I250" s="15">
        <v>4</v>
      </c>
      <c r="J250" s="15">
        <v>3</v>
      </c>
      <c r="K250" s="21">
        <v>5</v>
      </c>
      <c r="L250" s="15">
        <v>2</v>
      </c>
      <c r="M250" s="15">
        <v>1</v>
      </c>
      <c r="N250" s="21">
        <v>3</v>
      </c>
      <c r="O250" s="15">
        <v>4</v>
      </c>
      <c r="P250" s="15">
        <v>4</v>
      </c>
      <c r="Q250" s="21">
        <v>5</v>
      </c>
      <c r="R250" s="15">
        <f t="shared" si="12"/>
        <v>4.333333333333333</v>
      </c>
      <c r="S250" s="15">
        <f t="shared" si="13"/>
        <v>4</v>
      </c>
      <c r="T250" s="15">
        <f t="shared" si="14"/>
        <v>2</v>
      </c>
      <c r="U250" s="15">
        <f t="shared" si="15"/>
        <v>4.333333333333333</v>
      </c>
    </row>
    <row r="251" spans="1:21" ht="81" x14ac:dyDescent="0.3">
      <c r="A251" s="15">
        <v>595</v>
      </c>
      <c r="B251" s="15">
        <v>13599</v>
      </c>
      <c r="C251" s="15">
        <v>1</v>
      </c>
      <c r="D251" s="15" t="s">
        <v>11</v>
      </c>
      <c r="E251" s="20" t="s">
        <v>268</v>
      </c>
      <c r="F251" s="15">
        <v>4</v>
      </c>
      <c r="G251" s="15">
        <v>3</v>
      </c>
      <c r="H251" s="21">
        <v>4</v>
      </c>
      <c r="I251" s="15">
        <v>3</v>
      </c>
      <c r="J251" s="15">
        <v>4</v>
      </c>
      <c r="K251" s="21">
        <v>5</v>
      </c>
      <c r="L251" s="15">
        <v>2</v>
      </c>
      <c r="M251" s="15">
        <v>1</v>
      </c>
      <c r="N251" s="21">
        <v>3</v>
      </c>
      <c r="O251" s="15">
        <v>3</v>
      </c>
      <c r="P251" s="15">
        <v>3</v>
      </c>
      <c r="Q251" s="21">
        <v>4</v>
      </c>
      <c r="R251" s="15">
        <f t="shared" si="12"/>
        <v>3.6666666666666665</v>
      </c>
      <c r="S251" s="15">
        <f t="shared" si="13"/>
        <v>4</v>
      </c>
      <c r="T251" s="15">
        <f t="shared" si="14"/>
        <v>2</v>
      </c>
      <c r="U251" s="15">
        <f t="shared" si="15"/>
        <v>3.3333333333333335</v>
      </c>
    </row>
    <row r="252" spans="1:21" ht="54" x14ac:dyDescent="0.3">
      <c r="A252" s="15">
        <v>277</v>
      </c>
      <c r="B252" s="15">
        <v>11309</v>
      </c>
      <c r="C252" s="15">
        <v>1</v>
      </c>
      <c r="D252" s="15" t="s">
        <v>6</v>
      </c>
      <c r="E252" s="20" t="s">
        <v>269</v>
      </c>
      <c r="F252" s="15">
        <v>3</v>
      </c>
      <c r="G252" s="15">
        <v>3</v>
      </c>
      <c r="H252" s="21">
        <v>4</v>
      </c>
      <c r="I252" s="15">
        <v>3</v>
      </c>
      <c r="J252" s="15">
        <v>1</v>
      </c>
      <c r="K252" s="21">
        <v>3</v>
      </c>
      <c r="L252" s="15">
        <v>2</v>
      </c>
      <c r="M252" s="15">
        <v>1</v>
      </c>
      <c r="N252" s="21">
        <v>3</v>
      </c>
      <c r="O252" s="15">
        <v>4</v>
      </c>
      <c r="P252" s="15">
        <v>3</v>
      </c>
      <c r="Q252" s="21">
        <v>4</v>
      </c>
      <c r="R252" s="15">
        <f t="shared" si="12"/>
        <v>3.3333333333333335</v>
      </c>
      <c r="S252" s="15">
        <f t="shared" si="13"/>
        <v>2.3333333333333335</v>
      </c>
      <c r="T252" s="15">
        <f t="shared" si="14"/>
        <v>2</v>
      </c>
      <c r="U252" s="15">
        <f t="shared" si="15"/>
        <v>3.6666666666666665</v>
      </c>
    </row>
    <row r="253" spans="1:21" ht="40.5" x14ac:dyDescent="0.3">
      <c r="A253" s="15">
        <v>7184</v>
      </c>
      <c r="B253" s="15">
        <v>11471</v>
      </c>
      <c r="C253" s="15">
        <v>1</v>
      </c>
      <c r="D253" s="15" t="s">
        <v>4</v>
      </c>
      <c r="E253" s="20" t="s">
        <v>270</v>
      </c>
      <c r="F253" s="15">
        <v>3</v>
      </c>
      <c r="G253" s="15">
        <v>2</v>
      </c>
      <c r="H253" s="21">
        <v>3</v>
      </c>
      <c r="I253" s="15">
        <v>3</v>
      </c>
      <c r="J253" s="15">
        <v>3</v>
      </c>
      <c r="K253" s="21">
        <v>3</v>
      </c>
      <c r="L253" s="15">
        <v>2</v>
      </c>
      <c r="M253" s="15">
        <v>1</v>
      </c>
      <c r="N253" s="21">
        <v>3</v>
      </c>
      <c r="O253" s="15">
        <v>4</v>
      </c>
      <c r="P253" s="15">
        <v>2</v>
      </c>
      <c r="Q253" s="21">
        <v>3</v>
      </c>
      <c r="R253" s="15">
        <f t="shared" si="12"/>
        <v>2.6666666666666665</v>
      </c>
      <c r="S253" s="15">
        <f t="shared" si="13"/>
        <v>3</v>
      </c>
      <c r="T253" s="15">
        <f t="shared" si="14"/>
        <v>2</v>
      </c>
      <c r="U253" s="15">
        <f t="shared" si="15"/>
        <v>3</v>
      </c>
    </row>
    <row r="254" spans="1:21" ht="40.5" x14ac:dyDescent="0.3">
      <c r="A254" s="15">
        <v>3460</v>
      </c>
      <c r="B254" s="15">
        <v>14692</v>
      </c>
      <c r="C254" s="15">
        <v>1</v>
      </c>
      <c r="D254" s="15" t="s">
        <v>4</v>
      </c>
      <c r="E254" s="20" t="s">
        <v>271</v>
      </c>
      <c r="F254" s="15">
        <v>3</v>
      </c>
      <c r="G254" s="15">
        <v>3</v>
      </c>
      <c r="H254" s="21">
        <v>3</v>
      </c>
      <c r="I254" s="15">
        <v>3</v>
      </c>
      <c r="J254" s="15">
        <v>1</v>
      </c>
      <c r="K254" s="21">
        <v>3</v>
      </c>
      <c r="L254" s="15">
        <v>2</v>
      </c>
      <c r="M254" s="15">
        <v>1</v>
      </c>
      <c r="N254" s="21">
        <v>3</v>
      </c>
      <c r="O254" s="15">
        <v>4</v>
      </c>
      <c r="P254" s="15">
        <v>3</v>
      </c>
      <c r="Q254" s="21">
        <v>3</v>
      </c>
      <c r="R254" s="15">
        <f t="shared" si="12"/>
        <v>3</v>
      </c>
      <c r="S254" s="15">
        <f t="shared" si="13"/>
        <v>2.3333333333333335</v>
      </c>
      <c r="T254" s="15">
        <f t="shared" si="14"/>
        <v>2</v>
      </c>
      <c r="U254" s="15">
        <f t="shared" si="15"/>
        <v>3.3333333333333335</v>
      </c>
    </row>
    <row r="255" spans="1:21" ht="27" x14ac:dyDescent="0.3">
      <c r="A255" s="15">
        <v>9823</v>
      </c>
      <c r="B255" s="15">
        <v>10688</v>
      </c>
      <c r="C255" s="15">
        <v>1</v>
      </c>
      <c r="D255" s="15" t="s">
        <v>4</v>
      </c>
      <c r="E255" s="20" t="s">
        <v>272</v>
      </c>
      <c r="F255" s="15">
        <v>3</v>
      </c>
      <c r="G255" s="15">
        <v>2</v>
      </c>
      <c r="H255" s="21">
        <v>3</v>
      </c>
      <c r="I255" s="15">
        <v>3</v>
      </c>
      <c r="J255" s="15">
        <v>3</v>
      </c>
      <c r="K255" s="21">
        <v>3</v>
      </c>
      <c r="L255" s="15">
        <v>3</v>
      </c>
      <c r="M255" s="15">
        <v>1</v>
      </c>
      <c r="N255" s="21">
        <v>2</v>
      </c>
      <c r="O255" s="15">
        <v>3</v>
      </c>
      <c r="P255" s="15">
        <v>2</v>
      </c>
      <c r="Q255" s="21">
        <v>3</v>
      </c>
      <c r="R255" s="15">
        <f t="shared" si="12"/>
        <v>2.6666666666666665</v>
      </c>
      <c r="S255" s="15">
        <f t="shared" si="13"/>
        <v>3</v>
      </c>
      <c r="T255" s="15">
        <f t="shared" si="14"/>
        <v>2</v>
      </c>
      <c r="U255" s="15">
        <f t="shared" si="15"/>
        <v>2.6666666666666665</v>
      </c>
    </row>
    <row r="256" spans="1:21" ht="54" x14ac:dyDescent="0.3">
      <c r="A256" s="15">
        <v>14122</v>
      </c>
      <c r="B256" s="15">
        <v>14597</v>
      </c>
      <c r="C256" s="15">
        <v>1</v>
      </c>
      <c r="D256" s="15" t="s">
        <v>4</v>
      </c>
      <c r="E256" s="20" t="s">
        <v>273</v>
      </c>
      <c r="F256" s="15">
        <v>4</v>
      </c>
      <c r="G256" s="15">
        <v>3</v>
      </c>
      <c r="H256" s="21">
        <v>3</v>
      </c>
      <c r="I256" s="15">
        <v>3</v>
      </c>
      <c r="J256" s="15">
        <v>3</v>
      </c>
      <c r="K256" s="21">
        <v>3</v>
      </c>
      <c r="L256" s="15">
        <v>2</v>
      </c>
      <c r="M256" s="15">
        <v>1</v>
      </c>
      <c r="N256" s="21">
        <v>1</v>
      </c>
      <c r="O256" s="15">
        <v>4</v>
      </c>
      <c r="P256" s="15">
        <v>3</v>
      </c>
      <c r="Q256" s="21">
        <v>3</v>
      </c>
      <c r="R256" s="15">
        <f t="shared" si="12"/>
        <v>3.3333333333333335</v>
      </c>
      <c r="S256" s="15">
        <f t="shared" si="13"/>
        <v>3</v>
      </c>
      <c r="T256" s="15">
        <f t="shared" si="14"/>
        <v>1.3333333333333333</v>
      </c>
      <c r="U256" s="15">
        <f t="shared" si="15"/>
        <v>3.3333333333333335</v>
      </c>
    </row>
    <row r="257" spans="1:21" ht="40.5" x14ac:dyDescent="0.3">
      <c r="A257" s="15">
        <v>4349</v>
      </c>
      <c r="B257" s="15">
        <v>12049</v>
      </c>
      <c r="C257" s="15">
        <v>1</v>
      </c>
      <c r="D257" s="15" t="s">
        <v>6</v>
      </c>
      <c r="E257" s="20" t="s">
        <v>274</v>
      </c>
      <c r="F257" s="15">
        <v>3</v>
      </c>
      <c r="G257" s="15">
        <v>3</v>
      </c>
      <c r="H257" s="21">
        <v>4</v>
      </c>
      <c r="I257" s="15">
        <v>4</v>
      </c>
      <c r="J257" s="15">
        <v>1</v>
      </c>
      <c r="K257" s="21">
        <v>3</v>
      </c>
      <c r="L257" s="15">
        <v>2</v>
      </c>
      <c r="M257" s="15">
        <v>1</v>
      </c>
      <c r="N257" s="21">
        <v>3</v>
      </c>
      <c r="O257" s="15">
        <v>4</v>
      </c>
      <c r="P257" s="15">
        <v>3</v>
      </c>
      <c r="Q257" s="21">
        <v>4</v>
      </c>
      <c r="R257" s="15">
        <f t="shared" si="12"/>
        <v>3.3333333333333335</v>
      </c>
      <c r="S257" s="15">
        <f t="shared" si="13"/>
        <v>2.6666666666666665</v>
      </c>
      <c r="T257" s="15">
        <f t="shared" si="14"/>
        <v>2</v>
      </c>
      <c r="U257" s="15">
        <f t="shared" si="15"/>
        <v>3.6666666666666665</v>
      </c>
    </row>
    <row r="258" spans="1:21" ht="54" x14ac:dyDescent="0.3">
      <c r="A258" s="15">
        <v>11977</v>
      </c>
      <c r="B258" s="15">
        <v>14970</v>
      </c>
      <c r="C258" s="15">
        <v>1</v>
      </c>
      <c r="D258" s="15" t="s">
        <v>4</v>
      </c>
      <c r="E258" s="20" t="s">
        <v>275</v>
      </c>
      <c r="F258" s="15">
        <v>4</v>
      </c>
      <c r="G258" s="15">
        <v>3</v>
      </c>
      <c r="H258" s="21">
        <v>3</v>
      </c>
      <c r="I258" s="15">
        <v>3</v>
      </c>
      <c r="J258" s="15">
        <v>3</v>
      </c>
      <c r="K258" s="21">
        <v>3</v>
      </c>
      <c r="L258" s="15">
        <v>2</v>
      </c>
      <c r="M258" s="15">
        <v>1</v>
      </c>
      <c r="N258" s="21">
        <v>3</v>
      </c>
      <c r="O258" s="15">
        <v>4</v>
      </c>
      <c r="P258" s="15">
        <v>3</v>
      </c>
      <c r="Q258" s="21">
        <v>4</v>
      </c>
      <c r="R258" s="15">
        <f t="shared" si="12"/>
        <v>3.3333333333333335</v>
      </c>
      <c r="S258" s="15">
        <f t="shared" si="13"/>
        <v>3</v>
      </c>
      <c r="T258" s="15">
        <f t="shared" si="14"/>
        <v>2</v>
      </c>
      <c r="U258" s="15">
        <f t="shared" si="15"/>
        <v>3.6666666666666665</v>
      </c>
    </row>
    <row r="259" spans="1:21" ht="54" x14ac:dyDescent="0.3">
      <c r="A259" s="15">
        <v>15281</v>
      </c>
      <c r="B259" s="15">
        <v>12467</v>
      </c>
      <c r="C259" s="15">
        <v>1</v>
      </c>
      <c r="D259" s="15" t="s">
        <v>4</v>
      </c>
      <c r="E259" s="20" t="s">
        <v>276</v>
      </c>
      <c r="F259" s="15">
        <v>4</v>
      </c>
      <c r="G259" s="15">
        <v>3</v>
      </c>
      <c r="H259" s="21">
        <v>3</v>
      </c>
      <c r="I259" s="15">
        <v>3</v>
      </c>
      <c r="J259" s="15">
        <v>3</v>
      </c>
      <c r="K259" s="21">
        <v>3</v>
      </c>
      <c r="L259" s="15">
        <v>3</v>
      </c>
      <c r="M259" s="15">
        <v>1</v>
      </c>
      <c r="N259" s="21">
        <v>3</v>
      </c>
      <c r="O259" s="15">
        <v>4</v>
      </c>
      <c r="P259" s="15">
        <v>3</v>
      </c>
      <c r="Q259" s="21">
        <v>3</v>
      </c>
      <c r="R259" s="15">
        <f t="shared" ref="R259:R322" si="16">AVERAGE(F259:H259)</f>
        <v>3.3333333333333335</v>
      </c>
      <c r="S259" s="15">
        <f t="shared" ref="S259:S322" si="17">AVERAGE(I259:K259)</f>
        <v>3</v>
      </c>
      <c r="T259" s="15">
        <f t="shared" ref="T259:T322" si="18">AVERAGE(L259:N259)</f>
        <v>2.3333333333333335</v>
      </c>
      <c r="U259" s="15">
        <f t="shared" ref="U259:U322" si="19">AVERAGE(O259:Q259)</f>
        <v>3.3333333333333335</v>
      </c>
    </row>
    <row r="260" spans="1:21" ht="27" x14ac:dyDescent="0.3">
      <c r="A260" s="15">
        <v>9712</v>
      </c>
      <c r="B260" s="15">
        <v>10386</v>
      </c>
      <c r="C260" s="15">
        <v>1</v>
      </c>
      <c r="D260" s="15" t="s">
        <v>4</v>
      </c>
      <c r="E260" s="20" t="s">
        <v>277</v>
      </c>
      <c r="F260" s="15">
        <v>4</v>
      </c>
      <c r="G260" s="15">
        <v>3</v>
      </c>
      <c r="H260" s="21">
        <v>3</v>
      </c>
      <c r="I260" s="15">
        <v>3</v>
      </c>
      <c r="J260" s="15">
        <v>3</v>
      </c>
      <c r="K260" s="21">
        <v>3</v>
      </c>
      <c r="L260" s="15">
        <v>2</v>
      </c>
      <c r="M260" s="15">
        <v>3</v>
      </c>
      <c r="N260" s="21">
        <v>1</v>
      </c>
      <c r="O260" s="15">
        <v>4</v>
      </c>
      <c r="P260" s="15">
        <v>2</v>
      </c>
      <c r="Q260" s="21">
        <v>3</v>
      </c>
      <c r="R260" s="15">
        <f t="shared" si="16"/>
        <v>3.3333333333333335</v>
      </c>
      <c r="S260" s="15">
        <f t="shared" si="17"/>
        <v>3</v>
      </c>
      <c r="T260" s="15">
        <f t="shared" si="18"/>
        <v>2</v>
      </c>
      <c r="U260" s="15">
        <f t="shared" si="19"/>
        <v>3</v>
      </c>
    </row>
    <row r="261" spans="1:21" ht="135" x14ac:dyDescent="0.3">
      <c r="A261" s="15">
        <v>12895</v>
      </c>
      <c r="B261" s="15">
        <v>12936</v>
      </c>
      <c r="C261" s="15">
        <v>1</v>
      </c>
      <c r="D261" s="15" t="s">
        <v>191</v>
      </c>
      <c r="E261" s="20" t="s">
        <v>278</v>
      </c>
      <c r="F261" s="15">
        <v>4</v>
      </c>
      <c r="G261" s="15">
        <v>3</v>
      </c>
      <c r="H261" s="21">
        <v>5</v>
      </c>
      <c r="I261" s="15">
        <v>4</v>
      </c>
      <c r="J261" s="15">
        <v>5</v>
      </c>
      <c r="K261" s="21">
        <v>5</v>
      </c>
      <c r="L261" s="15">
        <v>2</v>
      </c>
      <c r="M261" s="15">
        <v>1</v>
      </c>
      <c r="N261" s="21">
        <v>3</v>
      </c>
      <c r="O261" s="15">
        <v>4</v>
      </c>
      <c r="P261" s="15">
        <v>3</v>
      </c>
      <c r="Q261" s="21">
        <v>5</v>
      </c>
      <c r="R261" s="15">
        <f t="shared" si="16"/>
        <v>4</v>
      </c>
      <c r="S261" s="15">
        <f t="shared" si="17"/>
        <v>4.666666666666667</v>
      </c>
      <c r="T261" s="15">
        <f t="shared" si="18"/>
        <v>2</v>
      </c>
      <c r="U261" s="15">
        <f t="shared" si="19"/>
        <v>4</v>
      </c>
    </row>
    <row r="262" spans="1:21" ht="67.5" x14ac:dyDescent="0.3">
      <c r="A262" s="15">
        <v>6947</v>
      </c>
      <c r="B262" s="15">
        <v>13941</v>
      </c>
      <c r="C262" s="15">
        <v>1</v>
      </c>
      <c r="D262" s="15" t="s">
        <v>11</v>
      </c>
      <c r="E262" s="20" t="s">
        <v>279</v>
      </c>
      <c r="F262" s="15">
        <v>3</v>
      </c>
      <c r="G262" s="15">
        <v>3</v>
      </c>
      <c r="H262" s="21">
        <v>4</v>
      </c>
      <c r="I262" s="15">
        <v>3</v>
      </c>
      <c r="J262" s="15">
        <v>3</v>
      </c>
      <c r="K262" s="21">
        <v>3</v>
      </c>
      <c r="L262" s="15">
        <v>2</v>
      </c>
      <c r="M262" s="15">
        <v>1</v>
      </c>
      <c r="N262" s="21">
        <v>3</v>
      </c>
      <c r="O262" s="15">
        <v>3</v>
      </c>
      <c r="P262" s="15">
        <v>3</v>
      </c>
      <c r="Q262" s="21">
        <v>4</v>
      </c>
      <c r="R262" s="15">
        <f t="shared" si="16"/>
        <v>3.3333333333333335</v>
      </c>
      <c r="S262" s="15">
        <f t="shared" si="17"/>
        <v>3</v>
      </c>
      <c r="T262" s="15">
        <f t="shared" si="18"/>
        <v>2</v>
      </c>
      <c r="U262" s="15">
        <f t="shared" si="19"/>
        <v>3.3333333333333335</v>
      </c>
    </row>
    <row r="263" spans="1:21" ht="81" x14ac:dyDescent="0.3">
      <c r="A263" s="15">
        <v>11105</v>
      </c>
      <c r="B263" s="15">
        <v>11905</v>
      </c>
      <c r="C263" s="15">
        <v>1</v>
      </c>
      <c r="D263" s="15" t="s">
        <v>13</v>
      </c>
      <c r="E263" s="20" t="s">
        <v>280</v>
      </c>
      <c r="F263" s="15">
        <v>4</v>
      </c>
      <c r="G263" s="15">
        <v>3</v>
      </c>
      <c r="H263" s="21">
        <v>3</v>
      </c>
      <c r="I263" s="15">
        <v>3</v>
      </c>
      <c r="J263" s="15">
        <v>4</v>
      </c>
      <c r="K263" s="21">
        <v>3</v>
      </c>
      <c r="L263" s="15">
        <v>2</v>
      </c>
      <c r="M263" s="15">
        <v>1</v>
      </c>
      <c r="N263" s="21">
        <v>3</v>
      </c>
      <c r="O263" s="15">
        <v>4</v>
      </c>
      <c r="P263" s="15">
        <v>3</v>
      </c>
      <c r="Q263" s="21">
        <v>3</v>
      </c>
      <c r="R263" s="15">
        <f t="shared" si="16"/>
        <v>3.3333333333333335</v>
      </c>
      <c r="S263" s="15">
        <f t="shared" si="17"/>
        <v>3.3333333333333335</v>
      </c>
      <c r="T263" s="15">
        <f t="shared" si="18"/>
        <v>2</v>
      </c>
      <c r="U263" s="15">
        <f t="shared" si="19"/>
        <v>3.3333333333333335</v>
      </c>
    </row>
    <row r="264" spans="1:21" ht="54" x14ac:dyDescent="0.3">
      <c r="A264" s="15">
        <v>4684</v>
      </c>
      <c r="B264" s="15">
        <v>12695</v>
      </c>
      <c r="C264" s="15">
        <v>1</v>
      </c>
      <c r="D264" s="15" t="s">
        <v>6</v>
      </c>
      <c r="E264" s="20" t="s">
        <v>281</v>
      </c>
      <c r="F264" s="15">
        <v>4</v>
      </c>
      <c r="G264" s="15">
        <v>3</v>
      </c>
      <c r="H264" s="21">
        <v>3</v>
      </c>
      <c r="I264" s="15">
        <v>3</v>
      </c>
      <c r="J264" s="15">
        <v>1</v>
      </c>
      <c r="K264" s="21">
        <v>3</v>
      </c>
      <c r="L264" s="15">
        <v>2</v>
      </c>
      <c r="M264" s="15">
        <v>1</v>
      </c>
      <c r="N264" s="21">
        <v>3</v>
      </c>
      <c r="O264" s="15">
        <v>3</v>
      </c>
      <c r="P264" s="15">
        <v>3</v>
      </c>
      <c r="Q264" s="21">
        <v>4</v>
      </c>
      <c r="R264" s="15">
        <f t="shared" si="16"/>
        <v>3.3333333333333335</v>
      </c>
      <c r="S264" s="15">
        <f t="shared" si="17"/>
        <v>2.3333333333333335</v>
      </c>
      <c r="T264" s="15">
        <f t="shared" si="18"/>
        <v>2</v>
      </c>
      <c r="U264" s="15">
        <f t="shared" si="19"/>
        <v>3.3333333333333335</v>
      </c>
    </row>
    <row r="265" spans="1:21" ht="54" x14ac:dyDescent="0.3">
      <c r="A265" s="15">
        <v>8840</v>
      </c>
      <c r="B265" s="15">
        <v>12341</v>
      </c>
      <c r="C265" s="15">
        <v>1</v>
      </c>
      <c r="D265" s="15" t="s">
        <v>4</v>
      </c>
      <c r="E265" s="20" t="s">
        <v>282</v>
      </c>
      <c r="F265" s="15">
        <v>4</v>
      </c>
      <c r="G265" s="15">
        <v>3</v>
      </c>
      <c r="H265" s="21">
        <v>3</v>
      </c>
      <c r="I265" s="15">
        <v>4</v>
      </c>
      <c r="J265" s="15">
        <v>3</v>
      </c>
      <c r="K265" s="21">
        <v>3</v>
      </c>
      <c r="L265" s="15">
        <v>2</v>
      </c>
      <c r="M265" s="15">
        <v>1</v>
      </c>
      <c r="N265" s="21">
        <v>3</v>
      </c>
      <c r="O265" s="15">
        <v>4</v>
      </c>
      <c r="P265" s="15">
        <v>3</v>
      </c>
      <c r="Q265" s="21">
        <v>3</v>
      </c>
      <c r="R265" s="15">
        <f t="shared" si="16"/>
        <v>3.3333333333333335</v>
      </c>
      <c r="S265" s="15">
        <f t="shared" si="17"/>
        <v>3.3333333333333335</v>
      </c>
      <c r="T265" s="15">
        <f t="shared" si="18"/>
        <v>2</v>
      </c>
      <c r="U265" s="15">
        <f t="shared" si="19"/>
        <v>3.3333333333333335</v>
      </c>
    </row>
    <row r="266" spans="1:21" ht="40.5" x14ac:dyDescent="0.3">
      <c r="A266" s="15">
        <v>10531</v>
      </c>
      <c r="B266" s="15">
        <v>10713</v>
      </c>
      <c r="C266" s="15">
        <v>1</v>
      </c>
      <c r="D266" s="15" t="s">
        <v>4</v>
      </c>
      <c r="E266" s="20" t="s">
        <v>283</v>
      </c>
      <c r="F266" s="15">
        <v>3</v>
      </c>
      <c r="G266" s="15">
        <v>3</v>
      </c>
      <c r="H266" s="21">
        <v>3</v>
      </c>
      <c r="I266" s="15">
        <v>3</v>
      </c>
      <c r="J266" s="15">
        <v>1</v>
      </c>
      <c r="K266" s="21">
        <v>3</v>
      </c>
      <c r="L266" s="15">
        <v>2</v>
      </c>
      <c r="M266" s="15">
        <v>1</v>
      </c>
      <c r="N266" s="21">
        <v>3</v>
      </c>
      <c r="O266" s="15">
        <v>4</v>
      </c>
      <c r="P266" s="15">
        <v>3</v>
      </c>
      <c r="Q266" s="21">
        <v>3</v>
      </c>
      <c r="R266" s="15">
        <f t="shared" si="16"/>
        <v>3</v>
      </c>
      <c r="S266" s="15">
        <f t="shared" si="17"/>
        <v>2.3333333333333335</v>
      </c>
      <c r="T266" s="15">
        <f t="shared" si="18"/>
        <v>2</v>
      </c>
      <c r="U266" s="15">
        <f t="shared" si="19"/>
        <v>3.3333333333333335</v>
      </c>
    </row>
    <row r="267" spans="1:21" ht="121.5" x14ac:dyDescent="0.3">
      <c r="A267" s="15">
        <v>16880</v>
      </c>
      <c r="B267" s="15">
        <v>12676</v>
      </c>
      <c r="C267" s="15">
        <v>1</v>
      </c>
      <c r="D267" s="15" t="s">
        <v>191</v>
      </c>
      <c r="E267" s="20" t="s">
        <v>284</v>
      </c>
      <c r="F267" s="15">
        <v>4</v>
      </c>
      <c r="G267" s="15">
        <v>4</v>
      </c>
      <c r="H267" s="21">
        <v>4</v>
      </c>
      <c r="I267" s="15">
        <v>4</v>
      </c>
      <c r="J267" s="15">
        <v>5</v>
      </c>
      <c r="K267" s="21">
        <v>5</v>
      </c>
      <c r="L267" s="15">
        <v>3</v>
      </c>
      <c r="M267" s="15">
        <v>3</v>
      </c>
      <c r="N267" s="21">
        <v>3</v>
      </c>
      <c r="O267" s="15">
        <v>4</v>
      </c>
      <c r="P267" s="15">
        <v>3</v>
      </c>
      <c r="Q267" s="21">
        <v>4</v>
      </c>
      <c r="R267" s="15">
        <f t="shared" si="16"/>
        <v>4</v>
      </c>
      <c r="S267" s="15">
        <f t="shared" si="17"/>
        <v>4.666666666666667</v>
      </c>
      <c r="T267" s="15">
        <f t="shared" si="18"/>
        <v>3</v>
      </c>
      <c r="U267" s="15">
        <f t="shared" si="19"/>
        <v>3.6666666666666665</v>
      </c>
    </row>
    <row r="268" spans="1:21" ht="81" x14ac:dyDescent="0.3">
      <c r="A268" s="15">
        <v>6105</v>
      </c>
      <c r="B268" s="15">
        <v>10255</v>
      </c>
      <c r="C268" s="15">
        <v>1</v>
      </c>
      <c r="D268" s="15" t="s">
        <v>4</v>
      </c>
      <c r="E268" s="20" t="s">
        <v>285</v>
      </c>
      <c r="F268" s="15">
        <v>4</v>
      </c>
      <c r="G268" s="15">
        <v>3</v>
      </c>
      <c r="H268" s="21">
        <v>4</v>
      </c>
      <c r="I268" s="15">
        <v>4</v>
      </c>
      <c r="J268" s="15">
        <v>3</v>
      </c>
      <c r="K268" s="21">
        <v>5</v>
      </c>
      <c r="L268" s="15">
        <v>2</v>
      </c>
      <c r="M268" s="15">
        <v>1</v>
      </c>
      <c r="N268" s="21">
        <v>3</v>
      </c>
      <c r="O268" s="15">
        <v>4</v>
      </c>
      <c r="P268" s="15">
        <v>3</v>
      </c>
      <c r="Q268" s="21">
        <v>4</v>
      </c>
      <c r="R268" s="15">
        <f t="shared" si="16"/>
        <v>3.6666666666666665</v>
      </c>
      <c r="S268" s="15">
        <f t="shared" si="17"/>
        <v>4</v>
      </c>
      <c r="T268" s="15">
        <f t="shared" si="18"/>
        <v>2</v>
      </c>
      <c r="U268" s="15">
        <f t="shared" si="19"/>
        <v>3.6666666666666665</v>
      </c>
    </row>
    <row r="269" spans="1:21" ht="40.5" x14ac:dyDescent="0.3">
      <c r="A269" s="15">
        <v>17059</v>
      </c>
      <c r="B269" s="15">
        <v>11180</v>
      </c>
      <c r="C269" s="15">
        <v>1</v>
      </c>
      <c r="D269" s="15" t="s">
        <v>4</v>
      </c>
      <c r="E269" s="20" t="s">
        <v>286</v>
      </c>
      <c r="F269" s="15">
        <v>3</v>
      </c>
      <c r="G269" s="15">
        <v>2</v>
      </c>
      <c r="H269" s="21">
        <v>3</v>
      </c>
      <c r="I269" s="15">
        <v>3</v>
      </c>
      <c r="J269" s="15">
        <v>3</v>
      </c>
      <c r="K269" s="21">
        <v>3</v>
      </c>
      <c r="L269" s="15">
        <v>2</v>
      </c>
      <c r="M269" s="15">
        <v>1</v>
      </c>
      <c r="N269" s="21">
        <v>3</v>
      </c>
      <c r="O269" s="15">
        <v>3</v>
      </c>
      <c r="P269" s="15">
        <v>2</v>
      </c>
      <c r="Q269" s="21">
        <v>3</v>
      </c>
      <c r="R269" s="15">
        <f t="shared" si="16"/>
        <v>2.6666666666666665</v>
      </c>
      <c r="S269" s="15">
        <f t="shared" si="17"/>
        <v>3</v>
      </c>
      <c r="T269" s="15">
        <f t="shared" si="18"/>
        <v>2</v>
      </c>
      <c r="U269" s="15">
        <f t="shared" si="19"/>
        <v>2.6666666666666665</v>
      </c>
    </row>
    <row r="270" spans="1:21" ht="40.5" x14ac:dyDescent="0.3">
      <c r="A270" s="15">
        <v>13994</v>
      </c>
      <c r="B270" s="15">
        <v>12084</v>
      </c>
      <c r="C270" s="15">
        <v>1</v>
      </c>
      <c r="D270" s="15" t="s">
        <v>36</v>
      </c>
      <c r="E270" s="20" t="s">
        <v>287</v>
      </c>
      <c r="F270" s="15">
        <v>4</v>
      </c>
      <c r="G270" s="15">
        <v>3</v>
      </c>
      <c r="H270" s="21">
        <v>3</v>
      </c>
      <c r="I270" s="15">
        <v>3</v>
      </c>
      <c r="J270" s="15">
        <v>3</v>
      </c>
      <c r="K270" s="21">
        <v>3</v>
      </c>
      <c r="L270" s="15">
        <v>2</v>
      </c>
      <c r="M270" s="15">
        <v>1</v>
      </c>
      <c r="N270" s="21">
        <v>3</v>
      </c>
      <c r="O270" s="15">
        <v>4</v>
      </c>
      <c r="P270" s="15">
        <v>3</v>
      </c>
      <c r="Q270" s="21">
        <v>3</v>
      </c>
      <c r="R270" s="15">
        <f t="shared" si="16"/>
        <v>3.3333333333333335</v>
      </c>
      <c r="S270" s="15">
        <f t="shared" si="17"/>
        <v>3</v>
      </c>
      <c r="T270" s="15">
        <f t="shared" si="18"/>
        <v>2</v>
      </c>
      <c r="U270" s="15">
        <f t="shared" si="19"/>
        <v>3.3333333333333335</v>
      </c>
    </row>
    <row r="271" spans="1:21" ht="67.5" x14ac:dyDescent="0.3">
      <c r="A271" s="15">
        <v>16932</v>
      </c>
      <c r="B271" s="15">
        <v>12320</v>
      </c>
      <c r="C271" s="15">
        <v>1</v>
      </c>
      <c r="D271" s="15" t="s">
        <v>4</v>
      </c>
      <c r="E271" s="20" t="s">
        <v>288</v>
      </c>
      <c r="F271" s="15">
        <v>4</v>
      </c>
      <c r="G271" s="15">
        <v>3</v>
      </c>
      <c r="H271" s="21">
        <v>4</v>
      </c>
      <c r="I271" s="15">
        <v>3</v>
      </c>
      <c r="J271" s="15">
        <v>3</v>
      </c>
      <c r="K271" s="21">
        <v>3</v>
      </c>
      <c r="L271" s="15">
        <v>2</v>
      </c>
      <c r="M271" s="15">
        <v>1</v>
      </c>
      <c r="N271" s="21">
        <v>3</v>
      </c>
      <c r="O271" s="15">
        <v>4</v>
      </c>
      <c r="P271" s="15">
        <v>3</v>
      </c>
      <c r="Q271" s="21">
        <v>4</v>
      </c>
      <c r="R271" s="15">
        <f t="shared" si="16"/>
        <v>3.6666666666666665</v>
      </c>
      <c r="S271" s="15">
        <f t="shared" si="17"/>
        <v>3</v>
      </c>
      <c r="T271" s="15">
        <f t="shared" si="18"/>
        <v>2</v>
      </c>
      <c r="U271" s="15">
        <f t="shared" si="19"/>
        <v>3.6666666666666665</v>
      </c>
    </row>
    <row r="272" spans="1:21" ht="94.5" x14ac:dyDescent="0.3">
      <c r="A272" s="15">
        <v>12595</v>
      </c>
      <c r="B272" s="15">
        <v>13598</v>
      </c>
      <c r="C272" s="15">
        <v>1</v>
      </c>
      <c r="D272" s="15" t="s">
        <v>11</v>
      </c>
      <c r="E272" s="20" t="s">
        <v>289</v>
      </c>
      <c r="F272" s="15">
        <v>4</v>
      </c>
      <c r="G272" s="15">
        <v>3</v>
      </c>
      <c r="H272" s="21">
        <v>4</v>
      </c>
      <c r="I272" s="15">
        <v>4</v>
      </c>
      <c r="J272" s="15">
        <v>5</v>
      </c>
      <c r="K272" s="21">
        <v>5</v>
      </c>
      <c r="L272" s="15">
        <v>2</v>
      </c>
      <c r="M272" s="15">
        <v>3</v>
      </c>
      <c r="N272" s="21">
        <v>3</v>
      </c>
      <c r="O272" s="15">
        <v>4</v>
      </c>
      <c r="P272" s="15">
        <v>3</v>
      </c>
      <c r="Q272" s="21">
        <v>4</v>
      </c>
      <c r="R272" s="15">
        <f t="shared" si="16"/>
        <v>3.6666666666666665</v>
      </c>
      <c r="S272" s="15">
        <f t="shared" si="17"/>
        <v>4.666666666666667</v>
      </c>
      <c r="T272" s="15">
        <f t="shared" si="18"/>
        <v>2.6666666666666665</v>
      </c>
      <c r="U272" s="15">
        <f t="shared" si="19"/>
        <v>3.6666666666666665</v>
      </c>
    </row>
    <row r="273" spans="1:21" ht="94.5" x14ac:dyDescent="0.3">
      <c r="A273" s="15">
        <v>12756</v>
      </c>
      <c r="B273" s="15">
        <v>12440</v>
      </c>
      <c r="C273" s="15">
        <v>1</v>
      </c>
      <c r="D273" s="15" t="s">
        <v>40</v>
      </c>
      <c r="E273" s="20" t="s">
        <v>290</v>
      </c>
      <c r="F273" s="15">
        <v>4</v>
      </c>
      <c r="G273" s="15">
        <v>3</v>
      </c>
      <c r="H273" s="21">
        <v>4</v>
      </c>
      <c r="I273" s="15">
        <v>4</v>
      </c>
      <c r="J273" s="15">
        <v>3</v>
      </c>
      <c r="K273" s="21">
        <v>5</v>
      </c>
      <c r="L273" s="15">
        <v>2</v>
      </c>
      <c r="M273" s="15">
        <v>1</v>
      </c>
      <c r="N273" s="21">
        <v>3</v>
      </c>
      <c r="O273" s="15">
        <v>4</v>
      </c>
      <c r="P273" s="15">
        <v>3</v>
      </c>
      <c r="Q273" s="21">
        <v>4</v>
      </c>
      <c r="R273" s="15">
        <f t="shared" si="16"/>
        <v>3.6666666666666665</v>
      </c>
      <c r="S273" s="15">
        <f t="shared" si="17"/>
        <v>4</v>
      </c>
      <c r="T273" s="15">
        <f t="shared" si="18"/>
        <v>2</v>
      </c>
      <c r="U273" s="15">
        <f t="shared" si="19"/>
        <v>3.6666666666666665</v>
      </c>
    </row>
    <row r="274" spans="1:21" ht="40.5" x14ac:dyDescent="0.3">
      <c r="A274" s="15">
        <v>14652</v>
      </c>
      <c r="B274" s="15">
        <v>10005</v>
      </c>
      <c r="C274" s="15">
        <v>1</v>
      </c>
      <c r="D274" s="15" t="s">
        <v>4</v>
      </c>
      <c r="E274" s="20" t="s">
        <v>291</v>
      </c>
      <c r="F274" s="15">
        <v>3</v>
      </c>
      <c r="G274" s="15">
        <v>4</v>
      </c>
      <c r="H274" s="21">
        <v>4</v>
      </c>
      <c r="I274" s="15">
        <v>3</v>
      </c>
      <c r="J274" s="15">
        <v>3</v>
      </c>
      <c r="K274" s="21">
        <v>3</v>
      </c>
      <c r="L274" s="15">
        <v>2</v>
      </c>
      <c r="M274" s="15">
        <v>1</v>
      </c>
      <c r="N274" s="21">
        <v>3</v>
      </c>
      <c r="O274" s="15">
        <v>4</v>
      </c>
      <c r="P274" s="15">
        <v>3</v>
      </c>
      <c r="Q274" s="21">
        <v>4</v>
      </c>
      <c r="R274" s="15">
        <f t="shared" si="16"/>
        <v>3.6666666666666665</v>
      </c>
      <c r="S274" s="15">
        <f t="shared" si="17"/>
        <v>3</v>
      </c>
      <c r="T274" s="15">
        <f t="shared" si="18"/>
        <v>2</v>
      </c>
      <c r="U274" s="15">
        <f t="shared" si="19"/>
        <v>3.6666666666666665</v>
      </c>
    </row>
    <row r="275" spans="1:21" ht="94.5" x14ac:dyDescent="0.3">
      <c r="A275" s="15">
        <v>2827</v>
      </c>
      <c r="B275" s="15">
        <v>11039</v>
      </c>
      <c r="C275" s="15">
        <v>1</v>
      </c>
      <c r="D275" s="15" t="s">
        <v>191</v>
      </c>
      <c r="E275" s="20" t="s">
        <v>292</v>
      </c>
      <c r="F275" s="15">
        <v>3</v>
      </c>
      <c r="G275" s="15">
        <v>4</v>
      </c>
      <c r="H275" s="21">
        <v>4</v>
      </c>
      <c r="I275" s="15">
        <v>3</v>
      </c>
      <c r="J275" s="15">
        <v>3</v>
      </c>
      <c r="K275" s="21">
        <v>5</v>
      </c>
      <c r="L275" s="15">
        <v>3</v>
      </c>
      <c r="M275" s="15">
        <v>1</v>
      </c>
      <c r="N275" s="21">
        <v>3</v>
      </c>
      <c r="O275" s="15">
        <v>4</v>
      </c>
      <c r="P275" s="15">
        <v>3</v>
      </c>
      <c r="Q275" s="21">
        <v>5</v>
      </c>
      <c r="R275" s="15">
        <f t="shared" si="16"/>
        <v>3.6666666666666665</v>
      </c>
      <c r="S275" s="15">
        <f t="shared" si="17"/>
        <v>3.6666666666666665</v>
      </c>
      <c r="T275" s="15">
        <f t="shared" si="18"/>
        <v>2.3333333333333335</v>
      </c>
      <c r="U275" s="15">
        <f t="shared" si="19"/>
        <v>4</v>
      </c>
    </row>
    <row r="276" spans="1:21" ht="40.5" x14ac:dyDescent="0.3">
      <c r="A276" s="15">
        <v>5752</v>
      </c>
      <c r="B276" s="15">
        <v>12785</v>
      </c>
      <c r="C276" s="15">
        <v>1</v>
      </c>
      <c r="D276" s="15" t="s">
        <v>45</v>
      </c>
      <c r="E276" s="20" t="s">
        <v>293</v>
      </c>
      <c r="F276" s="15">
        <v>3</v>
      </c>
      <c r="G276" s="15">
        <v>4</v>
      </c>
      <c r="H276" s="21">
        <v>4</v>
      </c>
      <c r="I276" s="15">
        <v>3</v>
      </c>
      <c r="J276" s="15">
        <v>3</v>
      </c>
      <c r="K276" s="21">
        <v>3</v>
      </c>
      <c r="L276" s="15">
        <v>2</v>
      </c>
      <c r="M276" s="15">
        <v>1</v>
      </c>
      <c r="N276" s="21">
        <v>3</v>
      </c>
      <c r="O276" s="15">
        <v>4</v>
      </c>
      <c r="P276" s="15">
        <v>3</v>
      </c>
      <c r="Q276" s="21">
        <v>4</v>
      </c>
      <c r="R276" s="15">
        <f t="shared" si="16"/>
        <v>3.6666666666666665</v>
      </c>
      <c r="S276" s="15">
        <f t="shared" si="17"/>
        <v>3</v>
      </c>
      <c r="T276" s="15">
        <f t="shared" si="18"/>
        <v>2</v>
      </c>
      <c r="U276" s="15">
        <f t="shared" si="19"/>
        <v>3.6666666666666665</v>
      </c>
    </row>
    <row r="277" spans="1:21" ht="40.5" x14ac:dyDescent="0.3">
      <c r="A277" s="15">
        <v>9609</v>
      </c>
      <c r="B277" s="15">
        <v>11747</v>
      </c>
      <c r="C277" s="15">
        <v>1</v>
      </c>
      <c r="D277" s="15" t="s">
        <v>4</v>
      </c>
      <c r="E277" s="20" t="s">
        <v>294</v>
      </c>
      <c r="F277" s="15">
        <v>3</v>
      </c>
      <c r="G277" s="15">
        <v>3</v>
      </c>
      <c r="H277" s="21">
        <v>3</v>
      </c>
      <c r="I277" s="15">
        <v>3</v>
      </c>
      <c r="J277" s="15">
        <v>3</v>
      </c>
      <c r="K277" s="21">
        <v>3</v>
      </c>
      <c r="L277" s="15">
        <v>2</v>
      </c>
      <c r="M277" s="15">
        <v>1</v>
      </c>
      <c r="N277" s="21">
        <v>1</v>
      </c>
      <c r="O277" s="15">
        <v>4</v>
      </c>
      <c r="P277" s="15">
        <v>3</v>
      </c>
      <c r="Q277" s="21">
        <v>3</v>
      </c>
      <c r="R277" s="15">
        <f t="shared" si="16"/>
        <v>3</v>
      </c>
      <c r="S277" s="15">
        <f t="shared" si="17"/>
        <v>3</v>
      </c>
      <c r="T277" s="15">
        <f t="shared" si="18"/>
        <v>1.3333333333333333</v>
      </c>
      <c r="U277" s="15">
        <f t="shared" si="19"/>
        <v>3.3333333333333335</v>
      </c>
    </row>
    <row r="278" spans="1:21" ht="54" x14ac:dyDescent="0.3">
      <c r="A278" s="15">
        <v>14878</v>
      </c>
      <c r="B278" s="15">
        <v>13907</v>
      </c>
      <c r="C278" s="15">
        <v>1</v>
      </c>
      <c r="D278" s="15" t="s">
        <v>11</v>
      </c>
      <c r="E278" s="20" t="s">
        <v>295</v>
      </c>
      <c r="F278" s="15">
        <v>3</v>
      </c>
      <c r="G278" s="15">
        <v>3</v>
      </c>
      <c r="H278" s="21">
        <v>3</v>
      </c>
      <c r="I278" s="15">
        <v>3</v>
      </c>
      <c r="J278" s="15">
        <v>3</v>
      </c>
      <c r="K278" s="21">
        <v>3</v>
      </c>
      <c r="L278" s="15">
        <v>2</v>
      </c>
      <c r="M278" s="15">
        <v>1</v>
      </c>
      <c r="N278" s="21">
        <v>3</v>
      </c>
      <c r="O278" s="15">
        <v>4</v>
      </c>
      <c r="P278" s="15">
        <v>3</v>
      </c>
      <c r="Q278" s="21">
        <v>3</v>
      </c>
      <c r="R278" s="15">
        <f t="shared" si="16"/>
        <v>3</v>
      </c>
      <c r="S278" s="15">
        <f t="shared" si="17"/>
        <v>3</v>
      </c>
      <c r="T278" s="15">
        <f t="shared" si="18"/>
        <v>2</v>
      </c>
      <c r="U278" s="15">
        <f t="shared" si="19"/>
        <v>3.3333333333333335</v>
      </c>
    </row>
    <row r="279" spans="1:21" ht="40.5" x14ac:dyDescent="0.3">
      <c r="A279" s="15">
        <v>5609</v>
      </c>
      <c r="B279" s="15">
        <v>14183</v>
      </c>
      <c r="C279" s="15">
        <v>1</v>
      </c>
      <c r="D279" s="15" t="s">
        <v>11</v>
      </c>
      <c r="E279" s="20" t="s">
        <v>296</v>
      </c>
      <c r="F279" s="15">
        <v>3</v>
      </c>
      <c r="G279" s="15">
        <v>3</v>
      </c>
      <c r="H279" s="21">
        <v>3</v>
      </c>
      <c r="I279" s="15">
        <v>3</v>
      </c>
      <c r="J279" s="15">
        <v>3</v>
      </c>
      <c r="K279" s="21">
        <v>3</v>
      </c>
      <c r="L279" s="15">
        <v>2</v>
      </c>
      <c r="M279" s="15">
        <v>1</v>
      </c>
      <c r="N279" s="21">
        <v>3</v>
      </c>
      <c r="O279" s="15">
        <v>3</v>
      </c>
      <c r="P279" s="15">
        <v>3</v>
      </c>
      <c r="Q279" s="21">
        <v>3</v>
      </c>
      <c r="R279" s="15">
        <f t="shared" si="16"/>
        <v>3</v>
      </c>
      <c r="S279" s="15">
        <f t="shared" si="17"/>
        <v>3</v>
      </c>
      <c r="T279" s="15">
        <f t="shared" si="18"/>
        <v>2</v>
      </c>
      <c r="U279" s="15">
        <f t="shared" si="19"/>
        <v>3</v>
      </c>
    </row>
    <row r="280" spans="1:21" ht="54" x14ac:dyDescent="0.3">
      <c r="A280" s="15">
        <v>12630</v>
      </c>
      <c r="B280" s="15">
        <v>13626</v>
      </c>
      <c r="C280" s="15">
        <v>1</v>
      </c>
      <c r="D280" s="15" t="s">
        <v>11</v>
      </c>
      <c r="E280" s="20" t="s">
        <v>297</v>
      </c>
      <c r="F280" s="15">
        <v>3</v>
      </c>
      <c r="G280" s="15">
        <v>3</v>
      </c>
      <c r="H280" s="21">
        <v>3</v>
      </c>
      <c r="I280" s="15">
        <v>3</v>
      </c>
      <c r="J280" s="15">
        <v>3</v>
      </c>
      <c r="K280" s="21">
        <v>3</v>
      </c>
      <c r="L280" s="15">
        <v>2</v>
      </c>
      <c r="M280" s="15">
        <v>1</v>
      </c>
      <c r="N280" s="21">
        <v>3</v>
      </c>
      <c r="O280" s="15">
        <v>4</v>
      </c>
      <c r="P280" s="15">
        <v>3</v>
      </c>
      <c r="Q280" s="21">
        <v>3</v>
      </c>
      <c r="R280" s="15">
        <f t="shared" si="16"/>
        <v>3</v>
      </c>
      <c r="S280" s="15">
        <f t="shared" si="17"/>
        <v>3</v>
      </c>
      <c r="T280" s="15">
        <f t="shared" si="18"/>
        <v>2</v>
      </c>
      <c r="U280" s="15">
        <f t="shared" si="19"/>
        <v>3.3333333333333335</v>
      </c>
    </row>
    <row r="281" spans="1:21" ht="54" x14ac:dyDescent="0.3">
      <c r="A281" s="15">
        <v>13009</v>
      </c>
      <c r="B281" s="15">
        <v>12906</v>
      </c>
      <c r="C281" s="15">
        <v>1</v>
      </c>
      <c r="D281" s="15" t="s">
        <v>36</v>
      </c>
      <c r="E281" s="20" t="s">
        <v>298</v>
      </c>
      <c r="F281" s="15">
        <v>4</v>
      </c>
      <c r="G281" s="15">
        <v>3</v>
      </c>
      <c r="H281" s="21">
        <v>3</v>
      </c>
      <c r="I281" s="15">
        <v>3</v>
      </c>
      <c r="J281" s="15">
        <v>3</v>
      </c>
      <c r="K281" s="21">
        <v>3</v>
      </c>
      <c r="L281" s="15">
        <v>2</v>
      </c>
      <c r="M281" s="15">
        <v>1</v>
      </c>
      <c r="N281" s="21">
        <v>2</v>
      </c>
      <c r="O281" s="15">
        <v>4</v>
      </c>
      <c r="P281" s="15">
        <v>3</v>
      </c>
      <c r="Q281" s="21">
        <v>3</v>
      </c>
      <c r="R281" s="15">
        <f t="shared" si="16"/>
        <v>3.3333333333333335</v>
      </c>
      <c r="S281" s="15">
        <f t="shared" si="17"/>
        <v>3</v>
      </c>
      <c r="T281" s="15">
        <f t="shared" si="18"/>
        <v>1.6666666666666667</v>
      </c>
      <c r="U281" s="15">
        <f t="shared" si="19"/>
        <v>3.3333333333333335</v>
      </c>
    </row>
    <row r="282" spans="1:21" ht="81" x14ac:dyDescent="0.3">
      <c r="A282" s="15">
        <v>1637</v>
      </c>
      <c r="B282" s="15">
        <v>11619</v>
      </c>
      <c r="C282" s="15">
        <v>1</v>
      </c>
      <c r="D282" s="15" t="s">
        <v>4</v>
      </c>
      <c r="E282" s="20" t="s">
        <v>299</v>
      </c>
      <c r="F282" s="15">
        <v>4</v>
      </c>
      <c r="G282" s="15">
        <v>3</v>
      </c>
      <c r="H282" s="21">
        <v>4</v>
      </c>
      <c r="I282" s="15">
        <v>3</v>
      </c>
      <c r="J282" s="15">
        <v>3</v>
      </c>
      <c r="K282" s="21">
        <v>3</v>
      </c>
      <c r="L282" s="15">
        <v>3</v>
      </c>
      <c r="M282" s="15">
        <v>1</v>
      </c>
      <c r="N282" s="21">
        <v>3</v>
      </c>
      <c r="O282" s="15">
        <v>4</v>
      </c>
      <c r="P282" s="15">
        <v>3</v>
      </c>
      <c r="Q282" s="21">
        <v>4</v>
      </c>
      <c r="R282" s="15">
        <f t="shared" si="16"/>
        <v>3.6666666666666665</v>
      </c>
      <c r="S282" s="15">
        <f t="shared" si="17"/>
        <v>3</v>
      </c>
      <c r="T282" s="15">
        <f t="shared" si="18"/>
        <v>2.3333333333333335</v>
      </c>
      <c r="U282" s="15">
        <f t="shared" si="19"/>
        <v>3.6666666666666665</v>
      </c>
    </row>
    <row r="283" spans="1:21" ht="54" x14ac:dyDescent="0.3">
      <c r="A283" s="15">
        <v>4473</v>
      </c>
      <c r="B283" s="15">
        <v>11486</v>
      </c>
      <c r="C283" s="15">
        <v>1</v>
      </c>
      <c r="D283" s="15" t="s">
        <v>4</v>
      </c>
      <c r="E283" s="20" t="s">
        <v>300</v>
      </c>
      <c r="F283" s="15">
        <v>4</v>
      </c>
      <c r="G283" s="15">
        <v>4</v>
      </c>
      <c r="H283" s="21">
        <v>4</v>
      </c>
      <c r="I283" s="15">
        <v>3</v>
      </c>
      <c r="J283" s="15">
        <v>3</v>
      </c>
      <c r="K283" s="21">
        <v>4</v>
      </c>
      <c r="L283" s="15">
        <v>2</v>
      </c>
      <c r="M283" s="15">
        <v>1</v>
      </c>
      <c r="N283" s="21">
        <v>3</v>
      </c>
      <c r="O283" s="15">
        <v>4</v>
      </c>
      <c r="P283" s="15">
        <v>3</v>
      </c>
      <c r="Q283" s="21">
        <v>4</v>
      </c>
      <c r="R283" s="15">
        <f t="shared" si="16"/>
        <v>4</v>
      </c>
      <c r="S283" s="15">
        <f t="shared" si="17"/>
        <v>3.3333333333333335</v>
      </c>
      <c r="T283" s="15">
        <f t="shared" si="18"/>
        <v>2</v>
      </c>
      <c r="U283" s="15">
        <f t="shared" si="19"/>
        <v>3.6666666666666665</v>
      </c>
    </row>
    <row r="284" spans="1:21" ht="81" x14ac:dyDescent="0.3">
      <c r="A284" s="15">
        <v>7419</v>
      </c>
      <c r="B284" s="15">
        <v>12051</v>
      </c>
      <c r="C284" s="15">
        <v>1</v>
      </c>
      <c r="D284" s="15" t="s">
        <v>13</v>
      </c>
      <c r="E284" s="20" t="s">
        <v>301</v>
      </c>
      <c r="F284" s="15">
        <v>4</v>
      </c>
      <c r="G284" s="15">
        <v>4</v>
      </c>
      <c r="H284" s="21">
        <v>4</v>
      </c>
      <c r="I284" s="15">
        <v>5</v>
      </c>
      <c r="J284" s="15">
        <v>3</v>
      </c>
      <c r="K284" s="21">
        <v>5</v>
      </c>
      <c r="L284" s="15">
        <v>2</v>
      </c>
      <c r="M284" s="15">
        <v>1</v>
      </c>
      <c r="N284" s="21">
        <v>1</v>
      </c>
      <c r="O284" s="15">
        <v>4</v>
      </c>
      <c r="P284" s="15">
        <v>3</v>
      </c>
      <c r="Q284" s="21">
        <v>4</v>
      </c>
      <c r="R284" s="15">
        <f t="shared" si="16"/>
        <v>4</v>
      </c>
      <c r="S284" s="15">
        <f t="shared" si="17"/>
        <v>4.333333333333333</v>
      </c>
      <c r="T284" s="15">
        <f t="shared" si="18"/>
        <v>1.3333333333333333</v>
      </c>
      <c r="U284" s="15">
        <f t="shared" si="19"/>
        <v>3.6666666666666665</v>
      </c>
    </row>
    <row r="285" spans="1:21" ht="40.5" x14ac:dyDescent="0.3">
      <c r="A285" s="15">
        <v>2701</v>
      </c>
      <c r="B285" s="15">
        <v>11266</v>
      </c>
      <c r="C285" s="15">
        <v>1</v>
      </c>
      <c r="D285" s="15" t="s">
        <v>4</v>
      </c>
      <c r="E285" s="20" t="s">
        <v>302</v>
      </c>
      <c r="F285" s="15">
        <v>3</v>
      </c>
      <c r="G285" s="15">
        <v>3</v>
      </c>
      <c r="H285" s="21">
        <v>3</v>
      </c>
      <c r="I285" s="15">
        <v>3</v>
      </c>
      <c r="J285" s="15">
        <v>3</v>
      </c>
      <c r="K285" s="21">
        <v>3</v>
      </c>
      <c r="L285" s="15">
        <v>2</v>
      </c>
      <c r="M285" s="15">
        <v>1</v>
      </c>
      <c r="N285" s="21">
        <v>3</v>
      </c>
      <c r="O285" s="15">
        <v>3</v>
      </c>
      <c r="P285" s="15">
        <v>3</v>
      </c>
      <c r="Q285" s="21">
        <v>3</v>
      </c>
      <c r="R285" s="15">
        <f t="shared" si="16"/>
        <v>3</v>
      </c>
      <c r="S285" s="15">
        <f t="shared" si="17"/>
        <v>3</v>
      </c>
      <c r="T285" s="15">
        <f t="shared" si="18"/>
        <v>2</v>
      </c>
      <c r="U285" s="15">
        <f t="shared" si="19"/>
        <v>3</v>
      </c>
    </row>
    <row r="286" spans="1:21" ht="40.5" x14ac:dyDescent="0.3">
      <c r="A286" s="15">
        <v>15840</v>
      </c>
      <c r="B286" s="15">
        <v>11538</v>
      </c>
      <c r="C286" s="15">
        <v>1</v>
      </c>
      <c r="D286" s="15" t="s">
        <v>4</v>
      </c>
      <c r="E286" s="20" t="s">
        <v>303</v>
      </c>
      <c r="F286" s="15">
        <v>4</v>
      </c>
      <c r="G286" s="15">
        <v>3</v>
      </c>
      <c r="H286" s="21">
        <v>3</v>
      </c>
      <c r="I286" s="15">
        <v>3</v>
      </c>
      <c r="J286" s="15">
        <v>3</v>
      </c>
      <c r="K286" s="21">
        <v>3</v>
      </c>
      <c r="L286" s="15">
        <v>2</v>
      </c>
      <c r="M286" s="15">
        <v>1</v>
      </c>
      <c r="N286" s="21">
        <v>1</v>
      </c>
      <c r="O286" s="15">
        <v>4</v>
      </c>
      <c r="P286" s="15">
        <v>3</v>
      </c>
      <c r="Q286" s="21">
        <v>3</v>
      </c>
      <c r="R286" s="15">
        <f t="shared" si="16"/>
        <v>3.3333333333333335</v>
      </c>
      <c r="S286" s="15">
        <f t="shared" si="17"/>
        <v>3</v>
      </c>
      <c r="T286" s="15">
        <f t="shared" si="18"/>
        <v>1.3333333333333333</v>
      </c>
      <c r="U286" s="15">
        <f t="shared" si="19"/>
        <v>3.3333333333333335</v>
      </c>
    </row>
    <row r="287" spans="1:21" ht="67.5" x14ac:dyDescent="0.3">
      <c r="A287" s="15">
        <v>15432</v>
      </c>
      <c r="B287" s="15">
        <v>11966</v>
      </c>
      <c r="C287" s="15">
        <v>1</v>
      </c>
      <c r="D287" s="15" t="s">
        <v>40</v>
      </c>
      <c r="E287" s="20" t="s">
        <v>304</v>
      </c>
      <c r="F287" s="15">
        <v>3</v>
      </c>
      <c r="G287" s="15">
        <v>4</v>
      </c>
      <c r="H287" s="21">
        <v>4</v>
      </c>
      <c r="I287" s="15">
        <v>3</v>
      </c>
      <c r="J287" s="15">
        <v>3</v>
      </c>
      <c r="K287" s="21">
        <v>3</v>
      </c>
      <c r="L287" s="15">
        <v>2</v>
      </c>
      <c r="M287" s="15">
        <v>1</v>
      </c>
      <c r="N287" s="21">
        <v>3</v>
      </c>
      <c r="O287" s="15">
        <v>4</v>
      </c>
      <c r="P287" s="15">
        <v>3</v>
      </c>
      <c r="Q287" s="21">
        <v>5</v>
      </c>
      <c r="R287" s="15">
        <f t="shared" si="16"/>
        <v>3.6666666666666665</v>
      </c>
      <c r="S287" s="15">
        <f t="shared" si="17"/>
        <v>3</v>
      </c>
      <c r="T287" s="15">
        <f t="shared" si="18"/>
        <v>2</v>
      </c>
      <c r="U287" s="15">
        <f t="shared" si="19"/>
        <v>4</v>
      </c>
    </row>
    <row r="288" spans="1:21" ht="54" x14ac:dyDescent="0.3">
      <c r="A288" s="15">
        <v>2690</v>
      </c>
      <c r="B288" s="15">
        <v>13872</v>
      </c>
      <c r="C288" s="15">
        <v>1</v>
      </c>
      <c r="D288" s="15" t="s">
        <v>11</v>
      </c>
      <c r="E288" s="20" t="s">
        <v>305</v>
      </c>
      <c r="F288" s="15">
        <v>4</v>
      </c>
      <c r="G288" s="15">
        <v>3</v>
      </c>
      <c r="H288" s="21">
        <v>3</v>
      </c>
      <c r="I288" s="15">
        <v>3</v>
      </c>
      <c r="J288" s="15">
        <v>3</v>
      </c>
      <c r="K288" s="21">
        <v>3</v>
      </c>
      <c r="L288" s="15">
        <v>3</v>
      </c>
      <c r="M288" s="15">
        <v>1</v>
      </c>
      <c r="N288" s="21">
        <v>3</v>
      </c>
      <c r="O288" s="15">
        <v>4</v>
      </c>
      <c r="P288" s="15">
        <v>3</v>
      </c>
      <c r="Q288" s="21">
        <v>3</v>
      </c>
      <c r="R288" s="15">
        <f t="shared" si="16"/>
        <v>3.3333333333333335</v>
      </c>
      <c r="S288" s="15">
        <f t="shared" si="17"/>
        <v>3</v>
      </c>
      <c r="T288" s="15">
        <f t="shared" si="18"/>
        <v>2.3333333333333335</v>
      </c>
      <c r="U288" s="15">
        <f t="shared" si="19"/>
        <v>3.3333333333333335</v>
      </c>
    </row>
    <row r="289" spans="1:21" ht="40.5" x14ac:dyDescent="0.3">
      <c r="A289" s="15">
        <v>4876</v>
      </c>
      <c r="B289" s="15">
        <v>14728</v>
      </c>
      <c r="C289" s="15">
        <v>1</v>
      </c>
      <c r="D289" s="15" t="s">
        <v>4</v>
      </c>
      <c r="E289" s="20" t="s">
        <v>306</v>
      </c>
      <c r="F289" s="15">
        <v>3</v>
      </c>
      <c r="G289" s="15">
        <v>3</v>
      </c>
      <c r="H289" s="21">
        <v>3</v>
      </c>
      <c r="I289" s="15">
        <v>4</v>
      </c>
      <c r="J289" s="15">
        <v>3</v>
      </c>
      <c r="K289" s="21">
        <v>3</v>
      </c>
      <c r="L289" s="15">
        <v>2</v>
      </c>
      <c r="M289" s="15">
        <v>1</v>
      </c>
      <c r="N289" s="21">
        <v>3</v>
      </c>
      <c r="O289" s="15">
        <v>3</v>
      </c>
      <c r="P289" s="15">
        <v>3</v>
      </c>
      <c r="Q289" s="21">
        <v>3</v>
      </c>
      <c r="R289" s="15">
        <f t="shared" si="16"/>
        <v>3</v>
      </c>
      <c r="S289" s="15">
        <f t="shared" si="17"/>
        <v>3.3333333333333335</v>
      </c>
      <c r="T289" s="15">
        <f t="shared" si="18"/>
        <v>2</v>
      </c>
      <c r="U289" s="15">
        <f t="shared" si="19"/>
        <v>3</v>
      </c>
    </row>
    <row r="290" spans="1:21" ht="81" x14ac:dyDescent="0.3">
      <c r="A290" s="15">
        <v>886</v>
      </c>
      <c r="B290" s="15">
        <v>12154</v>
      </c>
      <c r="C290" s="15">
        <v>1</v>
      </c>
      <c r="D290" s="15" t="s">
        <v>45</v>
      </c>
      <c r="E290" s="20" t="s">
        <v>307</v>
      </c>
      <c r="F290" s="15">
        <v>4</v>
      </c>
      <c r="G290" s="15">
        <v>3</v>
      </c>
      <c r="H290" s="21">
        <v>4</v>
      </c>
      <c r="I290" s="15">
        <v>4</v>
      </c>
      <c r="J290" s="15">
        <v>4</v>
      </c>
      <c r="K290" s="21">
        <v>5</v>
      </c>
      <c r="L290" s="15">
        <v>2</v>
      </c>
      <c r="M290" s="15">
        <v>2</v>
      </c>
      <c r="N290" s="21">
        <v>3</v>
      </c>
      <c r="O290" s="15">
        <v>4</v>
      </c>
      <c r="P290" s="15">
        <v>3</v>
      </c>
      <c r="Q290" s="21">
        <v>4</v>
      </c>
      <c r="R290" s="15">
        <f t="shared" si="16"/>
        <v>3.6666666666666665</v>
      </c>
      <c r="S290" s="15">
        <f t="shared" si="17"/>
        <v>4.333333333333333</v>
      </c>
      <c r="T290" s="15">
        <f t="shared" si="18"/>
        <v>2.3333333333333335</v>
      </c>
      <c r="U290" s="15">
        <f t="shared" si="19"/>
        <v>3.6666666666666665</v>
      </c>
    </row>
    <row r="291" spans="1:21" ht="67.5" x14ac:dyDescent="0.3">
      <c r="A291" s="15">
        <v>8910</v>
      </c>
      <c r="B291" s="15">
        <v>10527</v>
      </c>
      <c r="C291" s="15">
        <v>1</v>
      </c>
      <c r="D291" s="15" t="s">
        <v>4</v>
      </c>
      <c r="E291" s="20" t="s">
        <v>308</v>
      </c>
      <c r="F291" s="15">
        <v>4</v>
      </c>
      <c r="G291" s="15">
        <v>3</v>
      </c>
      <c r="H291" s="21">
        <v>4</v>
      </c>
      <c r="I291" s="15">
        <v>3</v>
      </c>
      <c r="J291" s="15">
        <v>3</v>
      </c>
      <c r="K291" s="21">
        <v>3</v>
      </c>
      <c r="L291" s="15">
        <v>2</v>
      </c>
      <c r="M291" s="15">
        <v>1</v>
      </c>
      <c r="N291" s="21">
        <v>3</v>
      </c>
      <c r="O291" s="15">
        <v>4</v>
      </c>
      <c r="P291" s="15">
        <v>4</v>
      </c>
      <c r="Q291" s="21">
        <v>4</v>
      </c>
      <c r="R291" s="15">
        <f t="shared" si="16"/>
        <v>3.6666666666666665</v>
      </c>
      <c r="S291" s="15">
        <f t="shared" si="17"/>
        <v>3</v>
      </c>
      <c r="T291" s="15">
        <f t="shared" si="18"/>
        <v>2</v>
      </c>
      <c r="U291" s="15">
        <f t="shared" si="19"/>
        <v>4</v>
      </c>
    </row>
    <row r="292" spans="1:21" ht="27" x14ac:dyDescent="0.3">
      <c r="A292" s="15">
        <v>12010</v>
      </c>
      <c r="B292" s="15">
        <v>10483</v>
      </c>
      <c r="C292" s="15">
        <v>1</v>
      </c>
      <c r="D292" s="15" t="s">
        <v>4</v>
      </c>
      <c r="E292" s="20" t="s">
        <v>309</v>
      </c>
      <c r="F292" s="15">
        <v>3</v>
      </c>
      <c r="G292" s="15">
        <v>3</v>
      </c>
      <c r="H292" s="21">
        <v>3</v>
      </c>
      <c r="I292" s="15">
        <v>3</v>
      </c>
      <c r="J292" s="15">
        <v>3</v>
      </c>
      <c r="K292" s="21">
        <v>3</v>
      </c>
      <c r="L292" s="15">
        <v>2</v>
      </c>
      <c r="M292" s="15">
        <v>3</v>
      </c>
      <c r="N292" s="21">
        <v>1</v>
      </c>
      <c r="O292" s="15">
        <v>3</v>
      </c>
      <c r="P292" s="15">
        <v>3</v>
      </c>
      <c r="Q292" s="21">
        <v>3</v>
      </c>
      <c r="R292" s="15">
        <f t="shared" si="16"/>
        <v>3</v>
      </c>
      <c r="S292" s="15">
        <f t="shared" si="17"/>
        <v>3</v>
      </c>
      <c r="T292" s="15">
        <f t="shared" si="18"/>
        <v>2</v>
      </c>
      <c r="U292" s="15">
        <f t="shared" si="19"/>
        <v>3</v>
      </c>
    </row>
    <row r="293" spans="1:21" ht="40.5" x14ac:dyDescent="0.3">
      <c r="A293" s="15">
        <v>9740</v>
      </c>
      <c r="B293" s="15">
        <v>10528</v>
      </c>
      <c r="C293" s="15">
        <v>1</v>
      </c>
      <c r="D293" s="15" t="s">
        <v>4</v>
      </c>
      <c r="E293" s="20" t="s">
        <v>310</v>
      </c>
      <c r="F293" s="15">
        <v>3</v>
      </c>
      <c r="G293" s="15">
        <v>2</v>
      </c>
      <c r="H293" s="21">
        <v>4</v>
      </c>
      <c r="I293" s="15">
        <v>3</v>
      </c>
      <c r="J293" s="15">
        <v>3</v>
      </c>
      <c r="K293" s="21">
        <v>3</v>
      </c>
      <c r="L293" s="15">
        <v>2</v>
      </c>
      <c r="M293" s="15">
        <v>1</v>
      </c>
      <c r="N293" s="21">
        <v>3</v>
      </c>
      <c r="O293" s="15">
        <v>4</v>
      </c>
      <c r="P293" s="15">
        <v>2</v>
      </c>
      <c r="Q293" s="21">
        <v>4</v>
      </c>
      <c r="R293" s="15">
        <f t="shared" si="16"/>
        <v>3</v>
      </c>
      <c r="S293" s="15">
        <f t="shared" si="17"/>
        <v>3</v>
      </c>
      <c r="T293" s="15">
        <f t="shared" si="18"/>
        <v>2</v>
      </c>
      <c r="U293" s="15">
        <f t="shared" si="19"/>
        <v>3.3333333333333335</v>
      </c>
    </row>
    <row r="294" spans="1:21" ht="27" x14ac:dyDescent="0.3">
      <c r="A294" s="15">
        <v>12838</v>
      </c>
      <c r="B294" s="15">
        <v>11951</v>
      </c>
      <c r="C294" s="15">
        <v>1</v>
      </c>
      <c r="D294" s="15" t="s">
        <v>36</v>
      </c>
      <c r="E294" s="20" t="s">
        <v>311</v>
      </c>
      <c r="F294" s="15">
        <v>3</v>
      </c>
      <c r="G294" s="15">
        <v>2</v>
      </c>
      <c r="H294" s="21">
        <v>3</v>
      </c>
      <c r="I294" s="15">
        <v>3</v>
      </c>
      <c r="J294" s="15">
        <v>3</v>
      </c>
      <c r="K294" s="21">
        <v>1</v>
      </c>
      <c r="L294" s="15">
        <v>2</v>
      </c>
      <c r="M294" s="15">
        <v>1</v>
      </c>
      <c r="N294" s="21">
        <v>2</v>
      </c>
      <c r="O294" s="15">
        <v>4</v>
      </c>
      <c r="P294" s="15">
        <v>2</v>
      </c>
      <c r="Q294" s="21">
        <v>3</v>
      </c>
      <c r="R294" s="15">
        <f t="shared" si="16"/>
        <v>2.6666666666666665</v>
      </c>
      <c r="S294" s="15">
        <f t="shared" si="17"/>
        <v>2.3333333333333335</v>
      </c>
      <c r="T294" s="15">
        <f t="shared" si="18"/>
        <v>1.6666666666666667</v>
      </c>
      <c r="U294" s="15">
        <f t="shared" si="19"/>
        <v>3</v>
      </c>
    </row>
    <row r="295" spans="1:21" ht="54" x14ac:dyDescent="0.3">
      <c r="A295" s="15">
        <v>5278</v>
      </c>
      <c r="B295" s="15">
        <v>13665</v>
      </c>
      <c r="C295" s="15">
        <v>1</v>
      </c>
      <c r="D295" s="15" t="s">
        <v>11</v>
      </c>
      <c r="E295" s="20" t="s">
        <v>312</v>
      </c>
      <c r="F295" s="15">
        <v>4</v>
      </c>
      <c r="G295" s="15">
        <v>3</v>
      </c>
      <c r="H295" s="21">
        <v>3</v>
      </c>
      <c r="I295" s="15">
        <v>3</v>
      </c>
      <c r="J295" s="15">
        <v>3</v>
      </c>
      <c r="K295" s="21">
        <v>3</v>
      </c>
      <c r="L295" s="15">
        <v>2</v>
      </c>
      <c r="M295" s="15">
        <v>1</v>
      </c>
      <c r="N295" s="21">
        <v>3</v>
      </c>
      <c r="O295" s="15">
        <v>4</v>
      </c>
      <c r="P295" s="15">
        <v>3</v>
      </c>
      <c r="Q295" s="21">
        <v>3</v>
      </c>
      <c r="R295" s="15">
        <f t="shared" si="16"/>
        <v>3.3333333333333335</v>
      </c>
      <c r="S295" s="15">
        <f t="shared" si="17"/>
        <v>3</v>
      </c>
      <c r="T295" s="15">
        <f t="shared" si="18"/>
        <v>2</v>
      </c>
      <c r="U295" s="15">
        <f t="shared" si="19"/>
        <v>3.3333333333333335</v>
      </c>
    </row>
    <row r="296" spans="1:21" ht="54" x14ac:dyDescent="0.3">
      <c r="A296" s="15">
        <v>10147</v>
      </c>
      <c r="B296" s="15">
        <v>13790</v>
      </c>
      <c r="C296" s="15">
        <v>1</v>
      </c>
      <c r="D296" s="15" t="s">
        <v>11</v>
      </c>
      <c r="E296" s="20" t="s">
        <v>313</v>
      </c>
      <c r="F296" s="15">
        <v>4</v>
      </c>
      <c r="G296" s="15">
        <v>3</v>
      </c>
      <c r="H296" s="21">
        <v>3</v>
      </c>
      <c r="I296" s="15">
        <v>3</v>
      </c>
      <c r="J296" s="15">
        <v>3</v>
      </c>
      <c r="K296" s="21">
        <v>3</v>
      </c>
      <c r="L296" s="15">
        <v>2</v>
      </c>
      <c r="M296" s="15">
        <v>1</v>
      </c>
      <c r="N296" s="21">
        <v>3</v>
      </c>
      <c r="O296" s="15">
        <v>3</v>
      </c>
      <c r="P296" s="15">
        <v>3</v>
      </c>
      <c r="Q296" s="21">
        <v>3</v>
      </c>
      <c r="R296" s="15">
        <f t="shared" si="16"/>
        <v>3.3333333333333335</v>
      </c>
      <c r="S296" s="15">
        <f t="shared" si="17"/>
        <v>3</v>
      </c>
      <c r="T296" s="15">
        <f t="shared" si="18"/>
        <v>2</v>
      </c>
      <c r="U296" s="15">
        <f t="shared" si="19"/>
        <v>3</v>
      </c>
    </row>
    <row r="297" spans="1:21" ht="40.5" x14ac:dyDescent="0.3">
      <c r="A297" s="15">
        <v>1193</v>
      </c>
      <c r="B297" s="15">
        <v>13863</v>
      </c>
      <c r="C297" s="15">
        <v>1</v>
      </c>
      <c r="D297" s="15" t="s">
        <v>11</v>
      </c>
      <c r="E297" s="20" t="s">
        <v>314</v>
      </c>
      <c r="F297" s="15">
        <v>4</v>
      </c>
      <c r="G297" s="15">
        <v>3</v>
      </c>
      <c r="H297" s="21">
        <v>3</v>
      </c>
      <c r="I297" s="15">
        <v>3</v>
      </c>
      <c r="J297" s="15">
        <v>3</v>
      </c>
      <c r="K297" s="21">
        <v>3</v>
      </c>
      <c r="L297" s="15">
        <v>2</v>
      </c>
      <c r="M297" s="15">
        <v>1</v>
      </c>
      <c r="N297" s="21">
        <v>1</v>
      </c>
      <c r="O297" s="15">
        <v>3</v>
      </c>
      <c r="P297" s="15">
        <v>3</v>
      </c>
      <c r="Q297" s="21">
        <v>3</v>
      </c>
      <c r="R297" s="15">
        <f t="shared" si="16"/>
        <v>3.3333333333333335</v>
      </c>
      <c r="S297" s="15">
        <f t="shared" si="17"/>
        <v>3</v>
      </c>
      <c r="T297" s="15">
        <f t="shared" si="18"/>
        <v>1.3333333333333333</v>
      </c>
      <c r="U297" s="15">
        <f t="shared" si="19"/>
        <v>3</v>
      </c>
    </row>
    <row r="298" spans="1:21" ht="67.5" x14ac:dyDescent="0.3">
      <c r="A298" s="15">
        <v>12937</v>
      </c>
      <c r="B298" s="15">
        <v>12550</v>
      </c>
      <c r="C298" s="15">
        <v>1</v>
      </c>
      <c r="D298" s="15" t="s">
        <v>4</v>
      </c>
      <c r="E298" s="20" t="s">
        <v>315</v>
      </c>
      <c r="F298" s="15">
        <v>3</v>
      </c>
      <c r="G298" s="15">
        <v>3</v>
      </c>
      <c r="H298" s="21">
        <v>3</v>
      </c>
      <c r="I298" s="15">
        <v>5</v>
      </c>
      <c r="J298" s="15">
        <v>4</v>
      </c>
      <c r="K298" s="21">
        <v>5</v>
      </c>
      <c r="L298" s="15">
        <v>2</v>
      </c>
      <c r="M298" s="15">
        <v>2</v>
      </c>
      <c r="N298" s="21">
        <v>1</v>
      </c>
      <c r="O298" s="15">
        <v>4</v>
      </c>
      <c r="P298" s="15">
        <v>3</v>
      </c>
      <c r="Q298" s="21">
        <v>3</v>
      </c>
      <c r="R298" s="15">
        <f t="shared" si="16"/>
        <v>3</v>
      </c>
      <c r="S298" s="15">
        <f t="shared" si="17"/>
        <v>4.666666666666667</v>
      </c>
      <c r="T298" s="15">
        <f t="shared" si="18"/>
        <v>1.6666666666666667</v>
      </c>
      <c r="U298" s="15">
        <f t="shared" si="19"/>
        <v>3.3333333333333335</v>
      </c>
    </row>
    <row r="299" spans="1:21" ht="40.5" x14ac:dyDescent="0.3">
      <c r="A299" s="15">
        <v>3546</v>
      </c>
      <c r="B299" s="15">
        <v>10747</v>
      </c>
      <c r="C299" s="15">
        <v>1</v>
      </c>
      <c r="D299" s="15" t="s">
        <v>4</v>
      </c>
      <c r="E299" s="20" t="s">
        <v>316</v>
      </c>
      <c r="F299" s="15">
        <v>3</v>
      </c>
      <c r="G299" s="15">
        <v>2</v>
      </c>
      <c r="H299" s="21">
        <v>3</v>
      </c>
      <c r="I299" s="15">
        <v>3</v>
      </c>
      <c r="J299" s="15">
        <v>3</v>
      </c>
      <c r="K299" s="21">
        <v>3</v>
      </c>
      <c r="L299" s="15">
        <v>2</v>
      </c>
      <c r="M299" s="15">
        <v>1</v>
      </c>
      <c r="N299" s="21">
        <v>3</v>
      </c>
      <c r="O299" s="15">
        <v>3</v>
      </c>
      <c r="P299" s="15">
        <v>3</v>
      </c>
      <c r="Q299" s="21">
        <v>3</v>
      </c>
      <c r="R299" s="15">
        <f t="shared" si="16"/>
        <v>2.6666666666666665</v>
      </c>
      <c r="S299" s="15">
        <f t="shared" si="17"/>
        <v>3</v>
      </c>
      <c r="T299" s="15">
        <f t="shared" si="18"/>
        <v>2</v>
      </c>
      <c r="U299" s="15">
        <f t="shared" si="19"/>
        <v>3</v>
      </c>
    </row>
    <row r="300" spans="1:21" ht="54" x14ac:dyDescent="0.3">
      <c r="A300" s="15">
        <v>7389</v>
      </c>
      <c r="B300" s="15">
        <v>10294</v>
      </c>
      <c r="C300" s="15">
        <v>1</v>
      </c>
      <c r="D300" s="15" t="s">
        <v>4</v>
      </c>
      <c r="E300" s="20" t="s">
        <v>317</v>
      </c>
      <c r="F300" s="15">
        <v>4</v>
      </c>
      <c r="G300" s="15">
        <v>3</v>
      </c>
      <c r="H300" s="21">
        <v>3</v>
      </c>
      <c r="I300" s="15">
        <v>3</v>
      </c>
      <c r="J300" s="15">
        <v>3</v>
      </c>
      <c r="K300" s="21">
        <v>3</v>
      </c>
      <c r="L300" s="15">
        <v>2</v>
      </c>
      <c r="M300" s="15">
        <v>1</v>
      </c>
      <c r="N300" s="21">
        <v>3</v>
      </c>
      <c r="O300" s="15">
        <v>4</v>
      </c>
      <c r="P300" s="15">
        <v>3</v>
      </c>
      <c r="Q300" s="21">
        <v>3</v>
      </c>
      <c r="R300" s="15">
        <f t="shared" si="16"/>
        <v>3.3333333333333335</v>
      </c>
      <c r="S300" s="15">
        <f t="shared" si="17"/>
        <v>3</v>
      </c>
      <c r="T300" s="15">
        <f t="shared" si="18"/>
        <v>2</v>
      </c>
      <c r="U300" s="15">
        <f t="shared" si="19"/>
        <v>3.3333333333333335</v>
      </c>
    </row>
    <row r="301" spans="1:21" ht="40.5" x14ac:dyDescent="0.3">
      <c r="A301" s="15">
        <v>2409</v>
      </c>
      <c r="B301" s="15">
        <v>13376</v>
      </c>
      <c r="C301" s="15">
        <v>1</v>
      </c>
      <c r="D301" s="15" t="s">
        <v>11</v>
      </c>
      <c r="E301" s="20" t="s">
        <v>318</v>
      </c>
      <c r="F301" s="15">
        <v>3</v>
      </c>
      <c r="G301" s="15">
        <v>3</v>
      </c>
      <c r="H301" s="21">
        <v>3</v>
      </c>
      <c r="I301" s="15">
        <v>3</v>
      </c>
      <c r="J301" s="15">
        <v>3</v>
      </c>
      <c r="K301" s="21">
        <v>3</v>
      </c>
      <c r="L301" s="15">
        <v>2</v>
      </c>
      <c r="M301" s="15">
        <v>1</v>
      </c>
      <c r="N301" s="21">
        <v>1</v>
      </c>
      <c r="O301" s="15">
        <v>4</v>
      </c>
      <c r="P301" s="15">
        <v>3</v>
      </c>
      <c r="Q301" s="21">
        <v>3</v>
      </c>
      <c r="R301" s="15">
        <f t="shared" si="16"/>
        <v>3</v>
      </c>
      <c r="S301" s="15">
        <f t="shared" si="17"/>
        <v>3</v>
      </c>
      <c r="T301" s="15">
        <f t="shared" si="18"/>
        <v>1.3333333333333333</v>
      </c>
      <c r="U301" s="15">
        <f t="shared" si="19"/>
        <v>3.3333333333333335</v>
      </c>
    </row>
    <row r="302" spans="1:21" ht="40.5" x14ac:dyDescent="0.3">
      <c r="A302" s="15">
        <v>7133</v>
      </c>
      <c r="B302" s="15">
        <v>14933</v>
      </c>
      <c r="C302" s="15">
        <v>1</v>
      </c>
      <c r="D302" s="15" t="s">
        <v>4</v>
      </c>
      <c r="E302" s="20" t="s">
        <v>319</v>
      </c>
      <c r="F302" s="15">
        <v>3</v>
      </c>
      <c r="G302" s="15">
        <v>3</v>
      </c>
      <c r="H302" s="21">
        <v>3</v>
      </c>
      <c r="I302" s="15">
        <v>3</v>
      </c>
      <c r="J302" s="15">
        <v>1</v>
      </c>
      <c r="K302" s="21">
        <v>3</v>
      </c>
      <c r="L302" s="15">
        <v>2</v>
      </c>
      <c r="M302" s="15">
        <v>1</v>
      </c>
      <c r="N302" s="21">
        <v>3</v>
      </c>
      <c r="O302" s="15">
        <v>3</v>
      </c>
      <c r="P302" s="15">
        <v>3</v>
      </c>
      <c r="Q302" s="21">
        <v>3</v>
      </c>
      <c r="R302" s="15">
        <f t="shared" si="16"/>
        <v>3</v>
      </c>
      <c r="S302" s="15">
        <f t="shared" si="17"/>
        <v>2.3333333333333335</v>
      </c>
      <c r="T302" s="15">
        <f t="shared" si="18"/>
        <v>2</v>
      </c>
      <c r="U302" s="15">
        <f t="shared" si="19"/>
        <v>3</v>
      </c>
    </row>
    <row r="303" spans="1:21" ht="40.5" x14ac:dyDescent="0.3">
      <c r="A303" s="15">
        <v>728</v>
      </c>
      <c r="B303" s="15">
        <v>10848</v>
      </c>
      <c r="C303" s="15">
        <v>1</v>
      </c>
      <c r="D303" s="15" t="s">
        <v>40</v>
      </c>
      <c r="E303" s="20" t="s">
        <v>320</v>
      </c>
      <c r="F303" s="15">
        <v>3</v>
      </c>
      <c r="G303" s="15">
        <v>3</v>
      </c>
      <c r="H303" s="21">
        <v>3</v>
      </c>
      <c r="I303" s="15">
        <v>3</v>
      </c>
      <c r="J303" s="15">
        <v>3</v>
      </c>
      <c r="K303" s="21">
        <v>3</v>
      </c>
      <c r="L303" s="15">
        <v>3</v>
      </c>
      <c r="M303" s="15">
        <v>3</v>
      </c>
      <c r="N303" s="21">
        <v>1</v>
      </c>
      <c r="O303" s="15">
        <v>4</v>
      </c>
      <c r="P303" s="15">
        <v>3</v>
      </c>
      <c r="Q303" s="21">
        <v>3</v>
      </c>
      <c r="R303" s="15">
        <f t="shared" si="16"/>
        <v>3</v>
      </c>
      <c r="S303" s="15">
        <f t="shared" si="17"/>
        <v>3</v>
      </c>
      <c r="T303" s="15">
        <f t="shared" si="18"/>
        <v>2.3333333333333335</v>
      </c>
      <c r="U303" s="15">
        <f t="shared" si="19"/>
        <v>3.3333333333333335</v>
      </c>
    </row>
    <row r="304" spans="1:21" ht="94.5" x14ac:dyDescent="0.3">
      <c r="A304" s="15">
        <v>16790</v>
      </c>
      <c r="B304" s="15">
        <v>13322</v>
      </c>
      <c r="C304" s="15">
        <v>1</v>
      </c>
      <c r="D304" s="15" t="s">
        <v>11</v>
      </c>
      <c r="E304" s="20" t="s">
        <v>321</v>
      </c>
      <c r="F304" s="15">
        <v>4</v>
      </c>
      <c r="G304" s="15">
        <v>3</v>
      </c>
      <c r="H304" s="21">
        <v>3</v>
      </c>
      <c r="I304" s="15">
        <v>4</v>
      </c>
      <c r="J304" s="15">
        <v>5</v>
      </c>
      <c r="K304" s="21">
        <v>5</v>
      </c>
      <c r="L304" s="15">
        <v>2</v>
      </c>
      <c r="M304" s="15">
        <v>1</v>
      </c>
      <c r="N304" s="21">
        <v>1</v>
      </c>
      <c r="O304" s="15">
        <v>4</v>
      </c>
      <c r="P304" s="15">
        <v>3</v>
      </c>
      <c r="Q304" s="21">
        <v>3</v>
      </c>
      <c r="R304" s="15">
        <f t="shared" si="16"/>
        <v>3.3333333333333335</v>
      </c>
      <c r="S304" s="15">
        <f t="shared" si="17"/>
        <v>4.666666666666667</v>
      </c>
      <c r="T304" s="15">
        <f t="shared" si="18"/>
        <v>1.3333333333333333</v>
      </c>
      <c r="U304" s="15">
        <f t="shared" si="19"/>
        <v>3.3333333333333335</v>
      </c>
    </row>
    <row r="305" spans="1:21" ht="54" x14ac:dyDescent="0.3">
      <c r="A305" s="15">
        <v>10302</v>
      </c>
      <c r="B305" s="15">
        <v>10643</v>
      </c>
      <c r="C305" s="15">
        <v>1</v>
      </c>
      <c r="D305" s="15" t="s">
        <v>4</v>
      </c>
      <c r="E305" s="20" t="s">
        <v>322</v>
      </c>
      <c r="F305" s="15">
        <v>4</v>
      </c>
      <c r="G305" s="15">
        <v>3</v>
      </c>
      <c r="H305" s="21">
        <v>4</v>
      </c>
      <c r="I305" s="15">
        <v>3</v>
      </c>
      <c r="J305" s="15">
        <v>3</v>
      </c>
      <c r="K305" s="21">
        <v>3</v>
      </c>
      <c r="L305" s="15">
        <v>2</v>
      </c>
      <c r="M305" s="15">
        <v>1</v>
      </c>
      <c r="N305" s="21">
        <v>3</v>
      </c>
      <c r="O305" s="15">
        <v>4</v>
      </c>
      <c r="P305" s="15">
        <v>3</v>
      </c>
      <c r="Q305" s="21">
        <v>4</v>
      </c>
      <c r="R305" s="15">
        <f t="shared" si="16"/>
        <v>3.6666666666666665</v>
      </c>
      <c r="S305" s="15">
        <f t="shared" si="17"/>
        <v>3</v>
      </c>
      <c r="T305" s="15">
        <f t="shared" si="18"/>
        <v>2</v>
      </c>
      <c r="U305" s="15">
        <f t="shared" si="19"/>
        <v>3.6666666666666665</v>
      </c>
    </row>
    <row r="306" spans="1:21" ht="54" x14ac:dyDescent="0.3">
      <c r="A306" s="15">
        <v>11088</v>
      </c>
      <c r="B306" s="15">
        <v>14194</v>
      </c>
      <c r="C306" s="15">
        <v>1</v>
      </c>
      <c r="D306" s="15" t="s">
        <v>11</v>
      </c>
      <c r="E306" s="20" t="s">
        <v>323</v>
      </c>
      <c r="F306" s="15">
        <v>3</v>
      </c>
      <c r="G306" s="15">
        <v>3</v>
      </c>
      <c r="H306" s="21">
        <v>3</v>
      </c>
      <c r="I306" s="15">
        <v>4</v>
      </c>
      <c r="J306" s="15">
        <v>1</v>
      </c>
      <c r="K306" s="21">
        <v>3</v>
      </c>
      <c r="L306" s="15">
        <v>2</v>
      </c>
      <c r="M306" s="15">
        <v>1</v>
      </c>
      <c r="N306" s="21">
        <v>3</v>
      </c>
      <c r="O306" s="15">
        <v>4</v>
      </c>
      <c r="P306" s="15">
        <v>3</v>
      </c>
      <c r="Q306" s="21">
        <v>3</v>
      </c>
      <c r="R306" s="15">
        <f t="shared" si="16"/>
        <v>3</v>
      </c>
      <c r="S306" s="15">
        <f t="shared" si="17"/>
        <v>2.6666666666666665</v>
      </c>
      <c r="T306" s="15">
        <f t="shared" si="18"/>
        <v>2</v>
      </c>
      <c r="U306" s="15">
        <f t="shared" si="19"/>
        <v>3.3333333333333335</v>
      </c>
    </row>
    <row r="307" spans="1:21" ht="40.5" x14ac:dyDescent="0.3">
      <c r="A307" s="15">
        <v>8051</v>
      </c>
      <c r="B307" s="15">
        <v>11697</v>
      </c>
      <c r="C307" s="15">
        <v>1</v>
      </c>
      <c r="D307" s="15" t="s">
        <v>4</v>
      </c>
      <c r="E307" s="20" t="s">
        <v>324</v>
      </c>
      <c r="F307" s="15">
        <v>3</v>
      </c>
      <c r="G307" s="15">
        <v>3</v>
      </c>
      <c r="H307" s="21">
        <v>3</v>
      </c>
      <c r="I307" s="15">
        <v>3</v>
      </c>
      <c r="J307" s="15">
        <v>3</v>
      </c>
      <c r="K307" s="21">
        <v>3</v>
      </c>
      <c r="L307" s="15">
        <v>2</v>
      </c>
      <c r="M307" s="15">
        <v>3</v>
      </c>
      <c r="N307" s="21">
        <v>1</v>
      </c>
      <c r="O307" s="15">
        <v>3</v>
      </c>
      <c r="P307" s="15">
        <v>3</v>
      </c>
      <c r="Q307" s="21">
        <v>3</v>
      </c>
      <c r="R307" s="15">
        <f t="shared" si="16"/>
        <v>3</v>
      </c>
      <c r="S307" s="15">
        <f t="shared" si="17"/>
        <v>3</v>
      </c>
      <c r="T307" s="15">
        <f t="shared" si="18"/>
        <v>2</v>
      </c>
      <c r="U307" s="15">
        <f t="shared" si="19"/>
        <v>3</v>
      </c>
    </row>
    <row r="308" spans="1:21" ht="67.5" x14ac:dyDescent="0.3">
      <c r="A308" s="15">
        <v>16846</v>
      </c>
      <c r="B308" s="15">
        <v>13546</v>
      </c>
      <c r="C308" s="15">
        <v>1</v>
      </c>
      <c r="D308" s="15" t="s">
        <v>11</v>
      </c>
      <c r="E308" s="20" t="s">
        <v>325</v>
      </c>
      <c r="F308" s="15">
        <v>3</v>
      </c>
      <c r="G308" s="15">
        <v>3</v>
      </c>
      <c r="H308" s="21">
        <v>3</v>
      </c>
      <c r="I308" s="15">
        <v>3</v>
      </c>
      <c r="J308" s="15">
        <v>3</v>
      </c>
      <c r="K308" s="21">
        <v>3</v>
      </c>
      <c r="L308" s="15">
        <v>2</v>
      </c>
      <c r="M308" s="15">
        <v>1</v>
      </c>
      <c r="N308" s="21">
        <v>3</v>
      </c>
      <c r="O308" s="15">
        <v>4</v>
      </c>
      <c r="P308" s="15">
        <v>3</v>
      </c>
      <c r="Q308" s="21">
        <v>3</v>
      </c>
      <c r="R308" s="15">
        <f t="shared" si="16"/>
        <v>3</v>
      </c>
      <c r="S308" s="15">
        <f t="shared" si="17"/>
        <v>3</v>
      </c>
      <c r="T308" s="15">
        <f t="shared" si="18"/>
        <v>2</v>
      </c>
      <c r="U308" s="15">
        <f t="shared" si="19"/>
        <v>3.3333333333333335</v>
      </c>
    </row>
    <row r="309" spans="1:21" ht="54" x14ac:dyDescent="0.3">
      <c r="A309" s="15">
        <v>5145</v>
      </c>
      <c r="B309" s="15">
        <v>14453</v>
      </c>
      <c r="C309" s="15">
        <v>1</v>
      </c>
      <c r="D309" s="15" t="s">
        <v>4</v>
      </c>
      <c r="E309" s="20" t="s">
        <v>326</v>
      </c>
      <c r="F309" s="15">
        <v>3</v>
      </c>
      <c r="G309" s="15">
        <v>3</v>
      </c>
      <c r="H309" s="21">
        <v>3</v>
      </c>
      <c r="I309" s="15">
        <v>4</v>
      </c>
      <c r="J309" s="15">
        <v>3</v>
      </c>
      <c r="K309" s="21">
        <v>3</v>
      </c>
      <c r="L309" s="15">
        <v>2</v>
      </c>
      <c r="M309" s="15">
        <v>5</v>
      </c>
      <c r="N309" s="21">
        <v>3</v>
      </c>
      <c r="O309" s="15">
        <v>3</v>
      </c>
      <c r="P309" s="15">
        <v>3</v>
      </c>
      <c r="Q309" s="21">
        <v>3</v>
      </c>
      <c r="R309" s="15">
        <f t="shared" si="16"/>
        <v>3</v>
      </c>
      <c r="S309" s="15">
        <f t="shared" si="17"/>
        <v>3.3333333333333335</v>
      </c>
      <c r="T309" s="15">
        <f t="shared" si="18"/>
        <v>3.3333333333333335</v>
      </c>
      <c r="U309" s="15">
        <f t="shared" si="19"/>
        <v>3</v>
      </c>
    </row>
    <row r="310" spans="1:21" ht="54" x14ac:dyDescent="0.3">
      <c r="A310" s="15">
        <v>9292</v>
      </c>
      <c r="B310" s="15">
        <v>14443</v>
      </c>
      <c r="C310" s="15">
        <v>1</v>
      </c>
      <c r="D310" s="15" t="s">
        <v>4</v>
      </c>
      <c r="E310" s="20" t="s">
        <v>327</v>
      </c>
      <c r="F310" s="15">
        <v>4</v>
      </c>
      <c r="G310" s="15">
        <v>3</v>
      </c>
      <c r="H310" s="21">
        <v>3</v>
      </c>
      <c r="I310" s="15">
        <v>3</v>
      </c>
      <c r="J310" s="15">
        <v>3</v>
      </c>
      <c r="K310" s="21">
        <v>3</v>
      </c>
      <c r="L310" s="15">
        <v>3</v>
      </c>
      <c r="M310" s="15">
        <v>1</v>
      </c>
      <c r="N310" s="21">
        <v>2</v>
      </c>
      <c r="O310" s="15">
        <v>4</v>
      </c>
      <c r="P310" s="15">
        <v>3</v>
      </c>
      <c r="Q310" s="21">
        <v>3</v>
      </c>
      <c r="R310" s="15">
        <f t="shared" si="16"/>
        <v>3.3333333333333335</v>
      </c>
      <c r="S310" s="15">
        <f t="shared" si="17"/>
        <v>3</v>
      </c>
      <c r="T310" s="15">
        <f t="shared" si="18"/>
        <v>2</v>
      </c>
      <c r="U310" s="15">
        <f t="shared" si="19"/>
        <v>3.3333333333333335</v>
      </c>
    </row>
    <row r="311" spans="1:21" ht="54" x14ac:dyDescent="0.3">
      <c r="A311" s="15">
        <v>17029</v>
      </c>
      <c r="B311" s="15">
        <v>10961</v>
      </c>
      <c r="C311" s="15">
        <v>1</v>
      </c>
      <c r="D311" s="15" t="s">
        <v>231</v>
      </c>
      <c r="E311" s="20" t="s">
        <v>328</v>
      </c>
      <c r="F311" s="15">
        <v>3</v>
      </c>
      <c r="G311" s="15">
        <v>3</v>
      </c>
      <c r="H311" s="21">
        <v>4</v>
      </c>
      <c r="I311" s="15">
        <v>3</v>
      </c>
      <c r="J311" s="15">
        <v>3</v>
      </c>
      <c r="K311" s="21">
        <v>3</v>
      </c>
      <c r="L311" s="15">
        <v>2</v>
      </c>
      <c r="M311" s="15">
        <v>3</v>
      </c>
      <c r="N311" s="21">
        <v>3</v>
      </c>
      <c r="O311" s="15">
        <v>3</v>
      </c>
      <c r="P311" s="15">
        <v>4</v>
      </c>
      <c r="Q311" s="21">
        <v>4</v>
      </c>
      <c r="R311" s="15">
        <f t="shared" si="16"/>
        <v>3.3333333333333335</v>
      </c>
      <c r="S311" s="15">
        <f t="shared" si="17"/>
        <v>3</v>
      </c>
      <c r="T311" s="15">
        <f t="shared" si="18"/>
        <v>2.6666666666666665</v>
      </c>
      <c r="U311" s="15">
        <f t="shared" si="19"/>
        <v>3.6666666666666665</v>
      </c>
    </row>
    <row r="312" spans="1:21" ht="67.5" x14ac:dyDescent="0.3">
      <c r="A312" s="15">
        <v>12693</v>
      </c>
      <c r="B312" s="15">
        <v>13795</v>
      </c>
      <c r="C312" s="15">
        <v>1</v>
      </c>
      <c r="D312" s="15" t="s">
        <v>11</v>
      </c>
      <c r="E312" s="20" t="s">
        <v>329</v>
      </c>
      <c r="F312" s="15">
        <v>4</v>
      </c>
      <c r="G312" s="15">
        <v>3</v>
      </c>
      <c r="H312" s="21">
        <v>3</v>
      </c>
      <c r="I312" s="15">
        <v>3</v>
      </c>
      <c r="J312" s="15">
        <v>3</v>
      </c>
      <c r="K312" s="21">
        <v>3</v>
      </c>
      <c r="L312" s="15">
        <v>2</v>
      </c>
      <c r="M312" s="15">
        <v>1</v>
      </c>
      <c r="N312" s="21">
        <v>3</v>
      </c>
      <c r="O312" s="15">
        <v>4</v>
      </c>
      <c r="P312" s="15">
        <v>3</v>
      </c>
      <c r="Q312" s="21">
        <v>3</v>
      </c>
      <c r="R312" s="15">
        <f t="shared" si="16"/>
        <v>3.3333333333333335</v>
      </c>
      <c r="S312" s="15">
        <f t="shared" si="17"/>
        <v>3</v>
      </c>
      <c r="T312" s="15">
        <f t="shared" si="18"/>
        <v>2</v>
      </c>
      <c r="U312" s="15">
        <f t="shared" si="19"/>
        <v>3.3333333333333335</v>
      </c>
    </row>
    <row r="313" spans="1:21" ht="27" x14ac:dyDescent="0.3">
      <c r="A313" s="15">
        <v>8141</v>
      </c>
      <c r="B313" s="15">
        <v>12091</v>
      </c>
      <c r="C313" s="15">
        <v>1</v>
      </c>
      <c r="D313" s="15" t="s">
        <v>4</v>
      </c>
      <c r="E313" s="20" t="s">
        <v>330</v>
      </c>
      <c r="F313" s="15">
        <v>3</v>
      </c>
      <c r="G313" s="15">
        <v>4</v>
      </c>
      <c r="H313" s="21">
        <v>3</v>
      </c>
      <c r="I313" s="15">
        <v>3</v>
      </c>
      <c r="J313" s="15">
        <v>3</v>
      </c>
      <c r="K313" s="21">
        <v>3</v>
      </c>
      <c r="L313" s="15">
        <v>2</v>
      </c>
      <c r="M313" s="15">
        <v>1</v>
      </c>
      <c r="N313" s="21">
        <v>3</v>
      </c>
      <c r="O313" s="15">
        <v>4</v>
      </c>
      <c r="P313" s="15">
        <v>3</v>
      </c>
      <c r="Q313" s="21">
        <v>3</v>
      </c>
      <c r="R313" s="15">
        <f t="shared" si="16"/>
        <v>3.3333333333333335</v>
      </c>
      <c r="S313" s="15">
        <f t="shared" si="17"/>
        <v>3</v>
      </c>
      <c r="T313" s="15">
        <f t="shared" si="18"/>
        <v>2</v>
      </c>
      <c r="U313" s="15">
        <f t="shared" si="19"/>
        <v>3.3333333333333335</v>
      </c>
    </row>
    <row r="314" spans="1:21" ht="81" x14ac:dyDescent="0.3">
      <c r="A314" s="15">
        <v>10315</v>
      </c>
      <c r="B314" s="15">
        <v>13331</v>
      </c>
      <c r="C314" s="15">
        <v>1</v>
      </c>
      <c r="D314" s="15" t="s">
        <v>4</v>
      </c>
      <c r="E314" s="20" t="s">
        <v>331</v>
      </c>
      <c r="F314" s="15">
        <v>4</v>
      </c>
      <c r="G314" s="15">
        <v>4</v>
      </c>
      <c r="H314" s="21">
        <v>4</v>
      </c>
      <c r="I314" s="15">
        <v>3</v>
      </c>
      <c r="J314" s="15">
        <v>3</v>
      </c>
      <c r="K314" s="21">
        <v>5</v>
      </c>
      <c r="L314" s="15">
        <v>2</v>
      </c>
      <c r="M314" s="15">
        <v>1</v>
      </c>
      <c r="N314" s="21">
        <v>3</v>
      </c>
      <c r="O314" s="15">
        <v>4</v>
      </c>
      <c r="P314" s="15">
        <v>3</v>
      </c>
      <c r="Q314" s="21">
        <v>4</v>
      </c>
      <c r="R314" s="15">
        <f t="shared" si="16"/>
        <v>4</v>
      </c>
      <c r="S314" s="15">
        <f t="shared" si="17"/>
        <v>3.6666666666666665</v>
      </c>
      <c r="T314" s="15">
        <f t="shared" si="18"/>
        <v>2</v>
      </c>
      <c r="U314" s="15">
        <f t="shared" si="19"/>
        <v>3.6666666666666665</v>
      </c>
    </row>
    <row r="315" spans="1:21" ht="27" x14ac:dyDescent="0.3">
      <c r="A315" s="15">
        <v>14649</v>
      </c>
      <c r="B315" s="15">
        <v>12034</v>
      </c>
      <c r="C315" s="15">
        <v>1</v>
      </c>
      <c r="D315" s="15" t="s">
        <v>191</v>
      </c>
      <c r="E315" s="20" t="s">
        <v>332</v>
      </c>
      <c r="F315" s="15">
        <v>3</v>
      </c>
      <c r="G315" s="15">
        <v>3</v>
      </c>
      <c r="H315" s="21">
        <v>3</v>
      </c>
      <c r="I315" s="15">
        <v>3</v>
      </c>
      <c r="J315" s="15">
        <v>3</v>
      </c>
      <c r="K315" s="21">
        <v>3</v>
      </c>
      <c r="L315" s="15">
        <v>2</v>
      </c>
      <c r="M315" s="15">
        <v>1</v>
      </c>
      <c r="N315" s="21">
        <v>1</v>
      </c>
      <c r="O315" s="15">
        <v>4</v>
      </c>
      <c r="P315" s="15">
        <v>3</v>
      </c>
      <c r="Q315" s="21">
        <v>3</v>
      </c>
      <c r="R315" s="15">
        <f t="shared" si="16"/>
        <v>3</v>
      </c>
      <c r="S315" s="15">
        <f t="shared" si="17"/>
        <v>3</v>
      </c>
      <c r="T315" s="15">
        <f t="shared" si="18"/>
        <v>1.3333333333333333</v>
      </c>
      <c r="U315" s="15">
        <f t="shared" si="19"/>
        <v>3.3333333333333335</v>
      </c>
    </row>
    <row r="316" spans="1:21" x14ac:dyDescent="0.3">
      <c r="A316" s="15">
        <v>9579</v>
      </c>
      <c r="B316" s="15">
        <v>12279</v>
      </c>
      <c r="C316" s="15">
        <v>1</v>
      </c>
      <c r="D316" s="15" t="s">
        <v>4</v>
      </c>
      <c r="E316" s="20" t="s">
        <v>333</v>
      </c>
      <c r="F316" s="15">
        <v>3</v>
      </c>
      <c r="G316" s="15">
        <v>2</v>
      </c>
      <c r="H316" s="21">
        <v>4</v>
      </c>
      <c r="I316" s="15">
        <v>1</v>
      </c>
      <c r="J316" s="15">
        <v>1</v>
      </c>
      <c r="K316" s="21">
        <v>3</v>
      </c>
      <c r="L316" s="15">
        <v>2</v>
      </c>
      <c r="M316" s="15">
        <v>1</v>
      </c>
      <c r="N316" s="21">
        <v>2</v>
      </c>
      <c r="O316" s="15">
        <v>4</v>
      </c>
      <c r="P316" s="15">
        <v>2</v>
      </c>
      <c r="Q316" s="21">
        <v>4</v>
      </c>
      <c r="R316" s="15">
        <f t="shared" si="16"/>
        <v>3</v>
      </c>
      <c r="S316" s="15">
        <f t="shared" si="17"/>
        <v>1.6666666666666667</v>
      </c>
      <c r="T316" s="15">
        <f t="shared" si="18"/>
        <v>1.6666666666666667</v>
      </c>
      <c r="U316" s="15">
        <f t="shared" si="19"/>
        <v>3.3333333333333335</v>
      </c>
    </row>
    <row r="317" spans="1:21" ht="67.5" x14ac:dyDescent="0.3">
      <c r="A317" s="15">
        <v>11870</v>
      </c>
      <c r="B317" s="15">
        <v>11837</v>
      </c>
      <c r="C317" s="15">
        <v>1</v>
      </c>
      <c r="D317" s="15" t="s">
        <v>32</v>
      </c>
      <c r="E317" s="20" t="s">
        <v>334</v>
      </c>
      <c r="F317" s="15">
        <v>4</v>
      </c>
      <c r="G317" s="15">
        <v>2</v>
      </c>
      <c r="H317" s="21">
        <v>3</v>
      </c>
      <c r="I317" s="15">
        <v>5</v>
      </c>
      <c r="J317" s="15">
        <v>5</v>
      </c>
      <c r="K317" s="21">
        <v>3</v>
      </c>
      <c r="L317" s="15">
        <v>2</v>
      </c>
      <c r="M317" s="15">
        <v>1</v>
      </c>
      <c r="N317" s="21">
        <v>3</v>
      </c>
      <c r="O317" s="15">
        <v>4</v>
      </c>
      <c r="P317" s="15">
        <v>3</v>
      </c>
      <c r="Q317" s="21">
        <v>3</v>
      </c>
      <c r="R317" s="15">
        <f t="shared" si="16"/>
        <v>3</v>
      </c>
      <c r="S317" s="15">
        <f t="shared" si="17"/>
        <v>4.333333333333333</v>
      </c>
      <c r="T317" s="15">
        <f t="shared" si="18"/>
        <v>2</v>
      </c>
      <c r="U317" s="15">
        <f t="shared" si="19"/>
        <v>3.3333333333333335</v>
      </c>
    </row>
    <row r="318" spans="1:21" ht="54" x14ac:dyDescent="0.3">
      <c r="A318" s="15">
        <v>15523</v>
      </c>
      <c r="B318" s="15">
        <v>11562</v>
      </c>
      <c r="C318" s="15">
        <v>1</v>
      </c>
      <c r="D318" s="15" t="s">
        <v>4</v>
      </c>
      <c r="E318" s="20" t="s">
        <v>335</v>
      </c>
      <c r="F318" s="15">
        <v>3</v>
      </c>
      <c r="G318" s="15">
        <v>3</v>
      </c>
      <c r="H318" s="21">
        <v>3</v>
      </c>
      <c r="I318" s="15">
        <v>4</v>
      </c>
      <c r="J318" s="15">
        <v>3</v>
      </c>
      <c r="K318" s="21">
        <v>3</v>
      </c>
      <c r="L318" s="15">
        <v>2</v>
      </c>
      <c r="M318" s="15">
        <v>1</v>
      </c>
      <c r="N318" s="21">
        <v>1</v>
      </c>
      <c r="O318" s="15">
        <v>4</v>
      </c>
      <c r="P318" s="15">
        <v>3</v>
      </c>
      <c r="Q318" s="21">
        <v>3</v>
      </c>
      <c r="R318" s="15">
        <f t="shared" si="16"/>
        <v>3</v>
      </c>
      <c r="S318" s="15">
        <f t="shared" si="17"/>
        <v>3.3333333333333335</v>
      </c>
      <c r="T318" s="15">
        <f t="shared" si="18"/>
        <v>1.3333333333333333</v>
      </c>
      <c r="U318" s="15">
        <f t="shared" si="19"/>
        <v>3.3333333333333335</v>
      </c>
    </row>
    <row r="319" spans="1:21" ht="54" x14ac:dyDescent="0.3">
      <c r="A319" s="15">
        <v>6371</v>
      </c>
      <c r="B319" s="15">
        <v>10108</v>
      </c>
      <c r="C319" s="15">
        <v>1</v>
      </c>
      <c r="D319" s="15" t="s">
        <v>4</v>
      </c>
      <c r="E319" s="20" t="s">
        <v>336</v>
      </c>
      <c r="F319" s="15">
        <v>4</v>
      </c>
      <c r="G319" s="15">
        <v>3</v>
      </c>
      <c r="H319" s="21">
        <v>3</v>
      </c>
      <c r="I319" s="15">
        <v>3</v>
      </c>
      <c r="J319" s="15">
        <v>3</v>
      </c>
      <c r="K319" s="21">
        <v>3</v>
      </c>
      <c r="L319" s="15">
        <v>2</v>
      </c>
      <c r="M319" s="15">
        <v>3</v>
      </c>
      <c r="N319" s="21">
        <v>1</v>
      </c>
      <c r="O319" s="15">
        <v>4</v>
      </c>
      <c r="P319" s="15">
        <v>3</v>
      </c>
      <c r="Q319" s="21">
        <v>3</v>
      </c>
      <c r="R319" s="15">
        <f t="shared" si="16"/>
        <v>3.3333333333333335</v>
      </c>
      <c r="S319" s="15">
        <f t="shared" si="17"/>
        <v>3</v>
      </c>
      <c r="T319" s="15">
        <f t="shared" si="18"/>
        <v>2</v>
      </c>
      <c r="U319" s="15">
        <f t="shared" si="19"/>
        <v>3.3333333333333335</v>
      </c>
    </row>
    <row r="320" spans="1:21" ht="27" x14ac:dyDescent="0.3">
      <c r="A320" s="15">
        <v>4456</v>
      </c>
      <c r="B320" s="15">
        <v>11998</v>
      </c>
      <c r="C320" s="15">
        <v>1</v>
      </c>
      <c r="D320" s="15" t="s">
        <v>4</v>
      </c>
      <c r="E320" s="20" t="s">
        <v>337</v>
      </c>
      <c r="F320" s="15">
        <v>3</v>
      </c>
      <c r="G320" s="15">
        <v>3</v>
      </c>
      <c r="H320" s="21">
        <v>3</v>
      </c>
      <c r="I320" s="15">
        <v>3</v>
      </c>
      <c r="J320" s="15">
        <v>3</v>
      </c>
      <c r="K320" s="21">
        <v>3</v>
      </c>
      <c r="L320" s="15">
        <v>2</v>
      </c>
      <c r="M320" s="15">
        <v>1</v>
      </c>
      <c r="N320" s="21">
        <v>1</v>
      </c>
      <c r="O320" s="15">
        <v>3</v>
      </c>
      <c r="P320" s="15">
        <v>3</v>
      </c>
      <c r="Q320" s="21">
        <v>3</v>
      </c>
      <c r="R320" s="15">
        <f t="shared" si="16"/>
        <v>3</v>
      </c>
      <c r="S320" s="15">
        <f t="shared" si="17"/>
        <v>3</v>
      </c>
      <c r="T320" s="15">
        <f t="shared" si="18"/>
        <v>1.3333333333333333</v>
      </c>
      <c r="U320" s="15">
        <f t="shared" si="19"/>
        <v>3</v>
      </c>
    </row>
    <row r="321" spans="1:21" ht="67.5" x14ac:dyDescent="0.3">
      <c r="A321" s="15">
        <v>7308</v>
      </c>
      <c r="B321" s="15">
        <v>14840</v>
      </c>
      <c r="C321" s="15">
        <v>1</v>
      </c>
      <c r="D321" s="15" t="s">
        <v>4</v>
      </c>
      <c r="E321" s="20" t="s">
        <v>338</v>
      </c>
      <c r="F321" s="15">
        <v>4</v>
      </c>
      <c r="G321" s="15">
        <v>4</v>
      </c>
      <c r="H321" s="21">
        <v>3</v>
      </c>
      <c r="I321" s="15">
        <v>4</v>
      </c>
      <c r="J321" s="15">
        <v>3</v>
      </c>
      <c r="K321" s="21">
        <v>3</v>
      </c>
      <c r="L321" s="15">
        <v>2</v>
      </c>
      <c r="M321" s="15">
        <v>1</v>
      </c>
      <c r="N321" s="21">
        <v>3</v>
      </c>
      <c r="O321" s="15">
        <v>4</v>
      </c>
      <c r="P321" s="15">
        <v>4</v>
      </c>
      <c r="Q321" s="21">
        <v>3</v>
      </c>
      <c r="R321" s="15">
        <f t="shared" si="16"/>
        <v>3.6666666666666665</v>
      </c>
      <c r="S321" s="15">
        <f t="shared" si="17"/>
        <v>3.3333333333333335</v>
      </c>
      <c r="T321" s="15">
        <f t="shared" si="18"/>
        <v>2</v>
      </c>
      <c r="U321" s="15">
        <f t="shared" si="19"/>
        <v>3.6666666666666665</v>
      </c>
    </row>
    <row r="322" spans="1:21" ht="54" x14ac:dyDescent="0.3">
      <c r="A322" s="15">
        <v>4401</v>
      </c>
      <c r="B322" s="15">
        <v>12653</v>
      </c>
      <c r="C322" s="15">
        <v>1</v>
      </c>
      <c r="D322" s="15" t="s">
        <v>13</v>
      </c>
      <c r="E322" s="20" t="s">
        <v>339</v>
      </c>
      <c r="F322" s="15">
        <v>4</v>
      </c>
      <c r="G322" s="15">
        <v>3</v>
      </c>
      <c r="H322" s="21">
        <v>3</v>
      </c>
      <c r="I322" s="15">
        <v>3</v>
      </c>
      <c r="J322" s="15">
        <v>3</v>
      </c>
      <c r="K322" s="21">
        <v>3</v>
      </c>
      <c r="L322" s="15">
        <v>2</v>
      </c>
      <c r="M322" s="15">
        <v>1</v>
      </c>
      <c r="N322" s="21">
        <v>3</v>
      </c>
      <c r="O322" s="15">
        <v>3</v>
      </c>
      <c r="P322" s="15">
        <v>3</v>
      </c>
      <c r="Q322" s="21">
        <v>3</v>
      </c>
      <c r="R322" s="15">
        <f t="shared" si="16"/>
        <v>3.3333333333333335</v>
      </c>
      <c r="S322" s="15">
        <f t="shared" si="17"/>
        <v>3</v>
      </c>
      <c r="T322" s="15">
        <f t="shared" si="18"/>
        <v>2</v>
      </c>
      <c r="U322" s="15">
        <f t="shared" si="19"/>
        <v>3</v>
      </c>
    </row>
    <row r="323" spans="1:21" ht="40.5" x14ac:dyDescent="0.3">
      <c r="A323" s="15">
        <v>7354</v>
      </c>
      <c r="B323" s="15">
        <v>10861</v>
      </c>
      <c r="C323" s="15">
        <v>1</v>
      </c>
      <c r="D323" s="15" t="s">
        <v>50</v>
      </c>
      <c r="E323" s="20" t="s">
        <v>340</v>
      </c>
      <c r="F323" s="15">
        <v>3</v>
      </c>
      <c r="G323" s="15">
        <v>3</v>
      </c>
      <c r="H323" s="21">
        <v>3</v>
      </c>
      <c r="I323" s="15">
        <v>3</v>
      </c>
      <c r="J323" s="15">
        <v>1</v>
      </c>
      <c r="K323" s="21">
        <v>3</v>
      </c>
      <c r="L323" s="15">
        <v>2</v>
      </c>
      <c r="M323" s="15">
        <v>1</v>
      </c>
      <c r="N323" s="21">
        <v>3</v>
      </c>
      <c r="O323" s="15">
        <v>4</v>
      </c>
      <c r="P323" s="15">
        <v>3</v>
      </c>
      <c r="Q323" s="21">
        <v>3</v>
      </c>
      <c r="R323" s="15">
        <f t="shared" ref="R323:R386" si="20">AVERAGE(F323:H323)</f>
        <v>3</v>
      </c>
      <c r="S323" s="15">
        <f t="shared" ref="S323:S386" si="21">AVERAGE(I323:K323)</f>
        <v>2.3333333333333335</v>
      </c>
      <c r="T323" s="15">
        <f t="shared" ref="T323:T386" si="22">AVERAGE(L323:N323)</f>
        <v>2</v>
      </c>
      <c r="U323" s="15">
        <f t="shared" ref="U323:U386" si="23">AVERAGE(O323:Q323)</f>
        <v>3.3333333333333335</v>
      </c>
    </row>
    <row r="324" spans="1:21" ht="40.5" x14ac:dyDescent="0.3">
      <c r="A324" s="15">
        <v>7167</v>
      </c>
      <c r="B324" s="15">
        <v>11940</v>
      </c>
      <c r="C324" s="15">
        <v>1</v>
      </c>
      <c r="D324" s="15" t="s">
        <v>13</v>
      </c>
      <c r="E324" s="20" t="s">
        <v>341</v>
      </c>
      <c r="F324" s="15">
        <v>3</v>
      </c>
      <c r="G324" s="15">
        <v>2</v>
      </c>
      <c r="H324" s="21">
        <v>3</v>
      </c>
      <c r="I324" s="15">
        <v>4</v>
      </c>
      <c r="J324" s="15">
        <v>3</v>
      </c>
      <c r="K324" s="21">
        <v>3</v>
      </c>
      <c r="L324" s="15">
        <v>2</v>
      </c>
      <c r="M324" s="15">
        <v>1</v>
      </c>
      <c r="N324" s="21">
        <v>1</v>
      </c>
      <c r="O324" s="15">
        <v>4</v>
      </c>
      <c r="P324" s="15">
        <v>2</v>
      </c>
      <c r="Q324" s="21">
        <v>2</v>
      </c>
      <c r="R324" s="15">
        <f t="shared" si="20"/>
        <v>2.6666666666666665</v>
      </c>
      <c r="S324" s="15">
        <f t="shared" si="21"/>
        <v>3.3333333333333335</v>
      </c>
      <c r="T324" s="15">
        <f t="shared" si="22"/>
        <v>1.3333333333333333</v>
      </c>
      <c r="U324" s="15">
        <f t="shared" si="23"/>
        <v>2.6666666666666665</v>
      </c>
    </row>
    <row r="325" spans="1:21" ht="27" x14ac:dyDescent="0.3">
      <c r="A325" s="15">
        <v>16099</v>
      </c>
      <c r="B325" s="15">
        <v>12694</v>
      </c>
      <c r="C325" s="15">
        <v>1</v>
      </c>
      <c r="D325" s="15" t="s">
        <v>13</v>
      </c>
      <c r="E325" s="20" t="s">
        <v>342</v>
      </c>
      <c r="F325" s="15">
        <v>3</v>
      </c>
      <c r="G325" s="15">
        <v>3</v>
      </c>
      <c r="H325" s="21">
        <v>3</v>
      </c>
      <c r="I325" s="15">
        <v>3</v>
      </c>
      <c r="J325" s="15">
        <v>1</v>
      </c>
      <c r="K325" s="21">
        <v>3</v>
      </c>
      <c r="L325" s="15">
        <v>2</v>
      </c>
      <c r="M325" s="15">
        <v>1</v>
      </c>
      <c r="N325" s="21">
        <v>1</v>
      </c>
      <c r="O325" s="15">
        <v>4</v>
      </c>
      <c r="P325" s="15">
        <v>3</v>
      </c>
      <c r="Q325" s="21">
        <v>3</v>
      </c>
      <c r="R325" s="15">
        <f t="shared" si="20"/>
        <v>3</v>
      </c>
      <c r="S325" s="15">
        <f t="shared" si="21"/>
        <v>2.3333333333333335</v>
      </c>
      <c r="T325" s="15">
        <f t="shared" si="22"/>
        <v>1.3333333333333333</v>
      </c>
      <c r="U325" s="15">
        <f t="shared" si="23"/>
        <v>3.3333333333333335</v>
      </c>
    </row>
    <row r="326" spans="1:21" ht="40.5" x14ac:dyDescent="0.3">
      <c r="A326" s="15">
        <v>802</v>
      </c>
      <c r="B326" s="15">
        <v>12159</v>
      </c>
      <c r="C326" s="15">
        <v>1</v>
      </c>
      <c r="D326" s="15" t="s">
        <v>6</v>
      </c>
      <c r="E326" s="20" t="s">
        <v>343</v>
      </c>
      <c r="F326" s="15">
        <v>4</v>
      </c>
      <c r="G326" s="15">
        <v>3</v>
      </c>
      <c r="H326" s="21">
        <v>3</v>
      </c>
      <c r="I326" s="15">
        <v>3</v>
      </c>
      <c r="J326" s="15">
        <v>1</v>
      </c>
      <c r="K326" s="21">
        <v>3</v>
      </c>
      <c r="L326" s="15">
        <v>2</v>
      </c>
      <c r="M326" s="15">
        <v>1</v>
      </c>
      <c r="N326" s="21">
        <v>1</v>
      </c>
      <c r="O326" s="15">
        <v>4</v>
      </c>
      <c r="P326" s="15">
        <v>3</v>
      </c>
      <c r="Q326" s="21">
        <v>3</v>
      </c>
      <c r="R326" s="15">
        <f t="shared" si="20"/>
        <v>3.3333333333333335</v>
      </c>
      <c r="S326" s="15">
        <f t="shared" si="21"/>
        <v>2.3333333333333335</v>
      </c>
      <c r="T326" s="15">
        <f t="shared" si="22"/>
        <v>1.3333333333333333</v>
      </c>
      <c r="U326" s="15">
        <f t="shared" si="23"/>
        <v>3.3333333333333335</v>
      </c>
    </row>
    <row r="327" spans="1:21" ht="40.5" x14ac:dyDescent="0.3">
      <c r="A327" s="15">
        <v>15845</v>
      </c>
      <c r="B327" s="15">
        <v>13811</v>
      </c>
      <c r="C327" s="15">
        <v>1</v>
      </c>
      <c r="D327" s="15" t="s">
        <v>11</v>
      </c>
      <c r="E327" s="20" t="s">
        <v>344</v>
      </c>
      <c r="F327" s="15">
        <v>3</v>
      </c>
      <c r="G327" s="15">
        <v>2</v>
      </c>
      <c r="H327" s="21">
        <v>3</v>
      </c>
      <c r="I327" s="15">
        <v>3</v>
      </c>
      <c r="J327" s="15">
        <v>3</v>
      </c>
      <c r="K327" s="21">
        <v>3</v>
      </c>
      <c r="L327" s="15">
        <v>2</v>
      </c>
      <c r="M327" s="15">
        <v>1</v>
      </c>
      <c r="N327" s="21">
        <v>1</v>
      </c>
      <c r="O327" s="15">
        <v>4</v>
      </c>
      <c r="P327" s="15">
        <v>3</v>
      </c>
      <c r="Q327" s="21">
        <v>2</v>
      </c>
      <c r="R327" s="15">
        <f t="shared" si="20"/>
        <v>2.6666666666666665</v>
      </c>
      <c r="S327" s="15">
        <f t="shared" si="21"/>
        <v>3</v>
      </c>
      <c r="T327" s="15">
        <f t="shared" si="22"/>
        <v>1.3333333333333333</v>
      </c>
      <c r="U327" s="15">
        <f t="shared" si="23"/>
        <v>3</v>
      </c>
    </row>
    <row r="328" spans="1:21" ht="40.5" x14ac:dyDescent="0.3">
      <c r="A328" s="15">
        <v>15150</v>
      </c>
      <c r="B328" s="15">
        <v>11050</v>
      </c>
      <c r="C328" s="15">
        <v>1</v>
      </c>
      <c r="D328" s="15" t="s">
        <v>4</v>
      </c>
      <c r="E328" s="20" t="s">
        <v>345</v>
      </c>
      <c r="F328" s="15">
        <v>4</v>
      </c>
      <c r="G328" s="15">
        <v>3</v>
      </c>
      <c r="H328" s="21">
        <v>4</v>
      </c>
      <c r="I328" s="15">
        <v>3</v>
      </c>
      <c r="J328" s="15">
        <v>1</v>
      </c>
      <c r="K328" s="21">
        <v>3</v>
      </c>
      <c r="L328" s="15">
        <v>2</v>
      </c>
      <c r="M328" s="15">
        <v>1</v>
      </c>
      <c r="N328" s="21">
        <v>3</v>
      </c>
      <c r="O328" s="15">
        <v>4</v>
      </c>
      <c r="P328" s="15">
        <v>3</v>
      </c>
      <c r="Q328" s="21">
        <v>4</v>
      </c>
      <c r="R328" s="15">
        <f t="shared" si="20"/>
        <v>3.6666666666666665</v>
      </c>
      <c r="S328" s="15">
        <f t="shared" si="21"/>
        <v>2.3333333333333335</v>
      </c>
      <c r="T328" s="15">
        <f t="shared" si="22"/>
        <v>2</v>
      </c>
      <c r="U328" s="15">
        <f t="shared" si="23"/>
        <v>3.6666666666666665</v>
      </c>
    </row>
    <row r="329" spans="1:21" ht="67.5" x14ac:dyDescent="0.3">
      <c r="A329" s="15">
        <v>6852</v>
      </c>
      <c r="B329" s="15">
        <v>13947</v>
      </c>
      <c r="C329" s="15">
        <v>1</v>
      </c>
      <c r="D329" s="15" t="s">
        <v>11</v>
      </c>
      <c r="E329" s="20" t="s">
        <v>346</v>
      </c>
      <c r="F329" s="15">
        <v>4</v>
      </c>
      <c r="G329" s="15">
        <v>3</v>
      </c>
      <c r="H329" s="21">
        <v>3</v>
      </c>
      <c r="I329" s="15">
        <v>4</v>
      </c>
      <c r="J329" s="15">
        <v>3</v>
      </c>
      <c r="K329" s="21">
        <v>3</v>
      </c>
      <c r="L329" s="15">
        <v>3</v>
      </c>
      <c r="M329" s="15">
        <v>1</v>
      </c>
      <c r="N329" s="21">
        <v>3</v>
      </c>
      <c r="O329" s="15">
        <v>4</v>
      </c>
      <c r="P329" s="15">
        <v>3</v>
      </c>
      <c r="Q329" s="21">
        <v>3</v>
      </c>
      <c r="R329" s="15">
        <f t="shared" si="20"/>
        <v>3.3333333333333335</v>
      </c>
      <c r="S329" s="15">
        <f t="shared" si="21"/>
        <v>3.3333333333333335</v>
      </c>
      <c r="T329" s="15">
        <f t="shared" si="22"/>
        <v>2.3333333333333335</v>
      </c>
      <c r="U329" s="15">
        <f t="shared" si="23"/>
        <v>3.3333333333333335</v>
      </c>
    </row>
    <row r="330" spans="1:21" ht="40.5" x14ac:dyDescent="0.3">
      <c r="A330" s="15">
        <v>13721</v>
      </c>
      <c r="B330" s="15">
        <v>12908</v>
      </c>
      <c r="C330" s="15">
        <v>1</v>
      </c>
      <c r="D330" s="15" t="s">
        <v>6</v>
      </c>
      <c r="E330" s="20" t="s">
        <v>347</v>
      </c>
      <c r="F330" s="15">
        <v>3</v>
      </c>
      <c r="G330" s="15">
        <v>3</v>
      </c>
      <c r="H330" s="21">
        <v>3</v>
      </c>
      <c r="I330" s="15">
        <v>3</v>
      </c>
      <c r="J330" s="15">
        <v>1</v>
      </c>
      <c r="K330" s="21">
        <v>3</v>
      </c>
      <c r="L330" s="15">
        <v>3</v>
      </c>
      <c r="M330" s="15">
        <v>1</v>
      </c>
      <c r="N330" s="21">
        <v>3</v>
      </c>
      <c r="O330" s="15">
        <v>4</v>
      </c>
      <c r="P330" s="15">
        <v>3</v>
      </c>
      <c r="Q330" s="21">
        <v>3</v>
      </c>
      <c r="R330" s="15">
        <f t="shared" si="20"/>
        <v>3</v>
      </c>
      <c r="S330" s="15">
        <f t="shared" si="21"/>
        <v>2.3333333333333335</v>
      </c>
      <c r="T330" s="15">
        <f t="shared" si="22"/>
        <v>2.3333333333333335</v>
      </c>
      <c r="U330" s="15">
        <f t="shared" si="23"/>
        <v>3.3333333333333335</v>
      </c>
    </row>
    <row r="331" spans="1:21" ht="27" x14ac:dyDescent="0.3">
      <c r="A331" s="15">
        <v>10980</v>
      </c>
      <c r="B331" s="15">
        <v>12079</v>
      </c>
      <c r="C331" s="15">
        <v>1</v>
      </c>
      <c r="D331" s="15" t="s">
        <v>4</v>
      </c>
      <c r="E331" s="20" t="s">
        <v>348</v>
      </c>
      <c r="F331" s="15">
        <v>3</v>
      </c>
      <c r="G331" s="15">
        <v>3</v>
      </c>
      <c r="H331" s="21">
        <v>3</v>
      </c>
      <c r="I331" s="15">
        <v>3</v>
      </c>
      <c r="J331" s="15">
        <v>3</v>
      </c>
      <c r="K331" s="21">
        <v>3</v>
      </c>
      <c r="L331" s="15">
        <v>2</v>
      </c>
      <c r="M331" s="15">
        <v>1</v>
      </c>
      <c r="N331" s="21">
        <v>1</v>
      </c>
      <c r="O331" s="15">
        <v>4</v>
      </c>
      <c r="P331" s="15">
        <v>3</v>
      </c>
      <c r="Q331" s="21">
        <v>3</v>
      </c>
      <c r="R331" s="15">
        <f t="shared" si="20"/>
        <v>3</v>
      </c>
      <c r="S331" s="15">
        <f t="shared" si="21"/>
        <v>3</v>
      </c>
      <c r="T331" s="15">
        <f t="shared" si="22"/>
        <v>1.3333333333333333</v>
      </c>
      <c r="U331" s="15">
        <f t="shared" si="23"/>
        <v>3.3333333333333335</v>
      </c>
    </row>
    <row r="332" spans="1:21" ht="121.5" x14ac:dyDescent="0.3">
      <c r="A332" s="15">
        <v>12435</v>
      </c>
      <c r="B332" s="15">
        <v>10118</v>
      </c>
      <c r="C332" s="15">
        <v>1</v>
      </c>
      <c r="D332" s="15" t="s">
        <v>4</v>
      </c>
      <c r="E332" s="20" t="s">
        <v>349</v>
      </c>
      <c r="F332" s="15">
        <v>4</v>
      </c>
      <c r="G332" s="15">
        <v>4</v>
      </c>
      <c r="H332" s="21">
        <v>4</v>
      </c>
      <c r="I332" s="15">
        <v>5</v>
      </c>
      <c r="J332" s="15">
        <v>3</v>
      </c>
      <c r="K332" s="21">
        <v>5</v>
      </c>
      <c r="L332" s="15">
        <v>3</v>
      </c>
      <c r="M332" s="15">
        <v>3</v>
      </c>
      <c r="N332" s="21">
        <v>3</v>
      </c>
      <c r="O332" s="15">
        <v>4</v>
      </c>
      <c r="P332" s="15">
        <v>4</v>
      </c>
      <c r="Q332" s="21">
        <v>4</v>
      </c>
      <c r="R332" s="15">
        <f t="shared" si="20"/>
        <v>4</v>
      </c>
      <c r="S332" s="15">
        <f t="shared" si="21"/>
        <v>4.333333333333333</v>
      </c>
      <c r="T332" s="15">
        <f t="shared" si="22"/>
        <v>3</v>
      </c>
      <c r="U332" s="15">
        <f t="shared" si="23"/>
        <v>4</v>
      </c>
    </row>
    <row r="333" spans="1:21" ht="40.5" x14ac:dyDescent="0.3">
      <c r="A333" s="15">
        <v>2179</v>
      </c>
      <c r="B333" s="15">
        <v>11627</v>
      </c>
      <c r="C333" s="15">
        <v>1</v>
      </c>
      <c r="D333" s="15" t="s">
        <v>40</v>
      </c>
      <c r="E333" s="20" t="s">
        <v>350</v>
      </c>
      <c r="F333" s="15">
        <v>3</v>
      </c>
      <c r="G333" s="15">
        <v>3</v>
      </c>
      <c r="H333" s="21">
        <v>3</v>
      </c>
      <c r="I333" s="15">
        <v>3</v>
      </c>
      <c r="J333" s="15">
        <v>3</v>
      </c>
      <c r="K333" s="21">
        <v>3</v>
      </c>
      <c r="L333" s="15">
        <v>2</v>
      </c>
      <c r="M333" s="15">
        <v>1</v>
      </c>
      <c r="N333" s="21">
        <v>3</v>
      </c>
      <c r="O333" s="15">
        <v>4</v>
      </c>
      <c r="P333" s="15">
        <v>3</v>
      </c>
      <c r="Q333" s="21">
        <v>3</v>
      </c>
      <c r="R333" s="15">
        <f t="shared" si="20"/>
        <v>3</v>
      </c>
      <c r="S333" s="15">
        <f t="shared" si="21"/>
        <v>3</v>
      </c>
      <c r="T333" s="15">
        <f t="shared" si="22"/>
        <v>2</v>
      </c>
      <c r="U333" s="15">
        <f t="shared" si="23"/>
        <v>3.3333333333333335</v>
      </c>
    </row>
    <row r="334" spans="1:21" ht="67.5" x14ac:dyDescent="0.3">
      <c r="A334" s="15">
        <v>6862</v>
      </c>
      <c r="B334" s="15">
        <v>13806</v>
      </c>
      <c r="C334" s="15">
        <v>1</v>
      </c>
      <c r="D334" s="15" t="s">
        <v>11</v>
      </c>
      <c r="E334" s="20" t="s">
        <v>351</v>
      </c>
      <c r="F334" s="15">
        <v>4</v>
      </c>
      <c r="G334" s="15">
        <v>3</v>
      </c>
      <c r="H334" s="21">
        <v>3</v>
      </c>
      <c r="I334" s="15">
        <v>3</v>
      </c>
      <c r="J334" s="15">
        <v>3</v>
      </c>
      <c r="K334" s="21">
        <v>3</v>
      </c>
      <c r="L334" s="15">
        <v>2</v>
      </c>
      <c r="M334" s="15">
        <v>1</v>
      </c>
      <c r="N334" s="21">
        <v>3</v>
      </c>
      <c r="O334" s="15">
        <v>4</v>
      </c>
      <c r="P334" s="15">
        <v>3</v>
      </c>
      <c r="Q334" s="21">
        <v>3</v>
      </c>
      <c r="R334" s="15">
        <f t="shared" si="20"/>
        <v>3.3333333333333335</v>
      </c>
      <c r="S334" s="15">
        <f t="shared" si="21"/>
        <v>3</v>
      </c>
      <c r="T334" s="15">
        <f t="shared" si="22"/>
        <v>2</v>
      </c>
      <c r="U334" s="15">
        <f t="shared" si="23"/>
        <v>3.3333333333333335</v>
      </c>
    </row>
    <row r="335" spans="1:21" ht="54" x14ac:dyDescent="0.3">
      <c r="A335" s="15">
        <v>862</v>
      </c>
      <c r="B335" s="15">
        <v>13324</v>
      </c>
      <c r="C335" s="15">
        <v>1</v>
      </c>
      <c r="D335" s="15" t="s">
        <v>11</v>
      </c>
      <c r="E335" s="20" t="s">
        <v>352</v>
      </c>
      <c r="F335" s="15">
        <v>4</v>
      </c>
      <c r="G335" s="15">
        <v>3</v>
      </c>
      <c r="H335" s="21">
        <v>3</v>
      </c>
      <c r="I335" s="15">
        <v>4</v>
      </c>
      <c r="J335" s="15">
        <v>1</v>
      </c>
      <c r="K335" s="21">
        <v>3</v>
      </c>
      <c r="L335" s="15">
        <v>2</v>
      </c>
      <c r="M335" s="15">
        <v>1</v>
      </c>
      <c r="N335" s="21">
        <v>3</v>
      </c>
      <c r="O335" s="15">
        <v>4</v>
      </c>
      <c r="P335" s="15">
        <v>3</v>
      </c>
      <c r="Q335" s="21">
        <v>3</v>
      </c>
      <c r="R335" s="15">
        <f t="shared" si="20"/>
        <v>3.3333333333333335</v>
      </c>
      <c r="S335" s="15">
        <f t="shared" si="21"/>
        <v>2.6666666666666665</v>
      </c>
      <c r="T335" s="15">
        <f t="shared" si="22"/>
        <v>2</v>
      </c>
      <c r="U335" s="15">
        <f t="shared" si="23"/>
        <v>3.3333333333333335</v>
      </c>
    </row>
    <row r="336" spans="1:21" ht="67.5" x14ac:dyDescent="0.3">
      <c r="A336" s="15">
        <v>4322</v>
      </c>
      <c r="B336" s="15">
        <v>11420</v>
      </c>
      <c r="C336" s="15">
        <v>1</v>
      </c>
      <c r="D336" s="15" t="s">
        <v>4</v>
      </c>
      <c r="E336" s="20" t="s">
        <v>353</v>
      </c>
      <c r="F336" s="15">
        <v>4</v>
      </c>
      <c r="G336" s="15">
        <v>3</v>
      </c>
      <c r="H336" s="21">
        <v>3</v>
      </c>
      <c r="I336" s="15">
        <v>5</v>
      </c>
      <c r="J336" s="15">
        <v>5</v>
      </c>
      <c r="K336" s="21">
        <v>5</v>
      </c>
      <c r="L336" s="15">
        <v>2</v>
      </c>
      <c r="M336" s="15">
        <v>5</v>
      </c>
      <c r="N336" s="21">
        <v>3</v>
      </c>
      <c r="O336" s="15">
        <v>4</v>
      </c>
      <c r="P336" s="15">
        <v>3</v>
      </c>
      <c r="Q336" s="21">
        <v>3</v>
      </c>
      <c r="R336" s="15">
        <f t="shared" si="20"/>
        <v>3.3333333333333335</v>
      </c>
      <c r="S336" s="15">
        <f t="shared" si="21"/>
        <v>5</v>
      </c>
      <c r="T336" s="15">
        <f t="shared" si="22"/>
        <v>3.3333333333333335</v>
      </c>
      <c r="U336" s="15">
        <f t="shared" si="23"/>
        <v>3.3333333333333335</v>
      </c>
    </row>
    <row r="337" spans="1:21" ht="40.5" x14ac:dyDescent="0.3">
      <c r="A337" s="15">
        <v>3148</v>
      </c>
      <c r="B337" s="15">
        <v>10354</v>
      </c>
      <c r="C337" s="15">
        <v>1</v>
      </c>
      <c r="D337" s="15" t="s">
        <v>4</v>
      </c>
      <c r="E337" s="20" t="s">
        <v>354</v>
      </c>
      <c r="F337" s="15">
        <v>3</v>
      </c>
      <c r="G337" s="15">
        <v>3</v>
      </c>
      <c r="H337" s="21">
        <v>3</v>
      </c>
      <c r="I337" s="15">
        <v>3</v>
      </c>
      <c r="J337" s="15">
        <v>3</v>
      </c>
      <c r="K337" s="21">
        <v>3</v>
      </c>
      <c r="L337" s="15">
        <v>2</v>
      </c>
      <c r="M337" s="15">
        <v>1</v>
      </c>
      <c r="N337" s="21">
        <v>2</v>
      </c>
      <c r="O337" s="15">
        <v>3</v>
      </c>
      <c r="P337" s="15">
        <v>3</v>
      </c>
      <c r="Q337" s="21">
        <v>3</v>
      </c>
      <c r="R337" s="15">
        <f t="shared" si="20"/>
        <v>3</v>
      </c>
      <c r="S337" s="15">
        <f t="shared" si="21"/>
        <v>3</v>
      </c>
      <c r="T337" s="15">
        <f t="shared" si="22"/>
        <v>1.6666666666666667</v>
      </c>
      <c r="U337" s="15">
        <f t="shared" si="23"/>
        <v>3</v>
      </c>
    </row>
    <row r="338" spans="1:21" ht="40.5" x14ac:dyDescent="0.3">
      <c r="A338" s="15">
        <v>3057</v>
      </c>
      <c r="B338" s="15">
        <v>13966</v>
      </c>
      <c r="C338" s="15">
        <v>1</v>
      </c>
      <c r="D338" s="15" t="s">
        <v>11</v>
      </c>
      <c r="E338" s="20" t="s">
        <v>355</v>
      </c>
      <c r="F338" s="15">
        <v>4</v>
      </c>
      <c r="G338" s="15">
        <v>3</v>
      </c>
      <c r="H338" s="21">
        <v>3</v>
      </c>
      <c r="I338" s="15">
        <v>3</v>
      </c>
      <c r="J338" s="15">
        <v>1</v>
      </c>
      <c r="K338" s="21">
        <v>3</v>
      </c>
      <c r="L338" s="15">
        <v>2</v>
      </c>
      <c r="M338" s="15">
        <v>1</v>
      </c>
      <c r="N338" s="21">
        <v>3</v>
      </c>
      <c r="O338" s="15">
        <v>4</v>
      </c>
      <c r="P338" s="15">
        <v>3</v>
      </c>
      <c r="Q338" s="21">
        <v>3</v>
      </c>
      <c r="R338" s="15">
        <f t="shared" si="20"/>
        <v>3.3333333333333335</v>
      </c>
      <c r="S338" s="15">
        <f t="shared" si="21"/>
        <v>2.3333333333333335</v>
      </c>
      <c r="T338" s="15">
        <f t="shared" si="22"/>
        <v>2</v>
      </c>
      <c r="U338" s="15">
        <f t="shared" si="23"/>
        <v>3.3333333333333335</v>
      </c>
    </row>
    <row r="339" spans="1:21" ht="67.5" x14ac:dyDescent="0.3">
      <c r="A339" s="15">
        <v>6863</v>
      </c>
      <c r="B339" s="15">
        <v>12962</v>
      </c>
      <c r="C339" s="15">
        <v>1</v>
      </c>
      <c r="D339" s="15" t="s">
        <v>45</v>
      </c>
      <c r="E339" s="20" t="s">
        <v>356</v>
      </c>
      <c r="F339" s="15">
        <v>4</v>
      </c>
      <c r="G339" s="15">
        <v>3</v>
      </c>
      <c r="H339" s="21">
        <v>4</v>
      </c>
      <c r="I339" s="15">
        <v>4</v>
      </c>
      <c r="J339" s="15">
        <v>3</v>
      </c>
      <c r="K339" s="21">
        <v>3</v>
      </c>
      <c r="L339" s="15">
        <v>3</v>
      </c>
      <c r="M339" s="15">
        <v>5</v>
      </c>
      <c r="N339" s="21">
        <v>3</v>
      </c>
      <c r="O339" s="15">
        <v>4</v>
      </c>
      <c r="P339" s="15">
        <v>3</v>
      </c>
      <c r="Q339" s="21">
        <v>4</v>
      </c>
      <c r="R339" s="15">
        <f t="shared" si="20"/>
        <v>3.6666666666666665</v>
      </c>
      <c r="S339" s="15">
        <f t="shared" si="21"/>
        <v>3.3333333333333335</v>
      </c>
      <c r="T339" s="15">
        <f t="shared" si="22"/>
        <v>3.6666666666666665</v>
      </c>
      <c r="U339" s="15">
        <f t="shared" si="23"/>
        <v>3.6666666666666665</v>
      </c>
    </row>
    <row r="340" spans="1:21" ht="40.5" x14ac:dyDescent="0.3">
      <c r="A340" s="15">
        <v>8695</v>
      </c>
      <c r="B340" s="15">
        <v>13999</v>
      </c>
      <c r="C340" s="15">
        <v>1</v>
      </c>
      <c r="D340" s="15" t="s">
        <v>11</v>
      </c>
      <c r="E340" s="20" t="s">
        <v>357</v>
      </c>
      <c r="F340" s="15">
        <v>3</v>
      </c>
      <c r="G340" s="15">
        <v>3</v>
      </c>
      <c r="H340" s="21">
        <v>3</v>
      </c>
      <c r="I340" s="15">
        <v>3</v>
      </c>
      <c r="J340" s="15">
        <v>1</v>
      </c>
      <c r="K340" s="21">
        <v>3</v>
      </c>
      <c r="L340" s="15">
        <v>2</v>
      </c>
      <c r="M340" s="15">
        <v>1</v>
      </c>
      <c r="N340" s="21">
        <v>3</v>
      </c>
      <c r="O340" s="15">
        <v>3</v>
      </c>
      <c r="P340" s="15">
        <v>3</v>
      </c>
      <c r="Q340" s="21">
        <v>3</v>
      </c>
      <c r="R340" s="15">
        <f t="shared" si="20"/>
        <v>3</v>
      </c>
      <c r="S340" s="15">
        <f t="shared" si="21"/>
        <v>2.3333333333333335</v>
      </c>
      <c r="T340" s="15">
        <f t="shared" si="22"/>
        <v>2</v>
      </c>
      <c r="U340" s="15">
        <f t="shared" si="23"/>
        <v>3</v>
      </c>
    </row>
    <row r="341" spans="1:21" ht="40.5" x14ac:dyDescent="0.3">
      <c r="A341" s="15">
        <v>1924</v>
      </c>
      <c r="B341" s="15">
        <v>14907</v>
      </c>
      <c r="C341" s="15">
        <v>1</v>
      </c>
      <c r="D341" s="15" t="s">
        <v>4</v>
      </c>
      <c r="E341" s="20" t="s">
        <v>358</v>
      </c>
      <c r="F341" s="15">
        <v>3</v>
      </c>
      <c r="G341" s="15">
        <v>3</v>
      </c>
      <c r="H341" s="21">
        <v>3</v>
      </c>
      <c r="I341" s="15">
        <v>3</v>
      </c>
      <c r="J341" s="15">
        <v>1</v>
      </c>
      <c r="K341" s="21">
        <v>3</v>
      </c>
      <c r="L341" s="15">
        <v>2</v>
      </c>
      <c r="M341" s="15">
        <v>1</v>
      </c>
      <c r="N341" s="21">
        <v>3</v>
      </c>
      <c r="O341" s="15">
        <v>3</v>
      </c>
      <c r="P341" s="15">
        <v>3</v>
      </c>
      <c r="Q341" s="21">
        <v>3</v>
      </c>
      <c r="R341" s="15">
        <f t="shared" si="20"/>
        <v>3</v>
      </c>
      <c r="S341" s="15">
        <f t="shared" si="21"/>
        <v>2.3333333333333335</v>
      </c>
      <c r="T341" s="15">
        <f t="shared" si="22"/>
        <v>2</v>
      </c>
      <c r="U341" s="15">
        <f t="shared" si="23"/>
        <v>3</v>
      </c>
    </row>
    <row r="342" spans="1:21" ht="54" x14ac:dyDescent="0.3">
      <c r="A342" s="15">
        <v>9602</v>
      </c>
      <c r="B342" s="15">
        <v>10857</v>
      </c>
      <c r="C342" s="15">
        <v>1</v>
      </c>
      <c r="D342" s="15" t="s">
        <v>36</v>
      </c>
      <c r="E342" s="20" t="s">
        <v>359</v>
      </c>
      <c r="F342" s="15">
        <v>4</v>
      </c>
      <c r="G342" s="15">
        <v>3</v>
      </c>
      <c r="H342" s="21">
        <v>3</v>
      </c>
      <c r="I342" s="15">
        <v>4</v>
      </c>
      <c r="J342" s="15">
        <v>3</v>
      </c>
      <c r="K342" s="21">
        <v>3</v>
      </c>
      <c r="L342" s="15">
        <v>2</v>
      </c>
      <c r="M342" s="15">
        <v>1</v>
      </c>
      <c r="N342" s="21">
        <v>2</v>
      </c>
      <c r="O342" s="15">
        <v>4</v>
      </c>
      <c r="P342" s="15">
        <v>3</v>
      </c>
      <c r="Q342" s="21">
        <v>3</v>
      </c>
      <c r="R342" s="15">
        <f t="shared" si="20"/>
        <v>3.3333333333333335</v>
      </c>
      <c r="S342" s="15">
        <f t="shared" si="21"/>
        <v>3.3333333333333335</v>
      </c>
      <c r="T342" s="15">
        <f t="shared" si="22"/>
        <v>1.6666666666666667</v>
      </c>
      <c r="U342" s="15">
        <f t="shared" si="23"/>
        <v>3.3333333333333335</v>
      </c>
    </row>
    <row r="343" spans="1:21" ht="27" x14ac:dyDescent="0.3">
      <c r="A343" s="15">
        <v>7157</v>
      </c>
      <c r="B343" s="15">
        <v>10417</v>
      </c>
      <c r="C343" s="15">
        <v>1</v>
      </c>
      <c r="D343" s="15" t="s">
        <v>4</v>
      </c>
      <c r="E343" s="20" t="s">
        <v>360</v>
      </c>
      <c r="F343" s="15">
        <v>3</v>
      </c>
      <c r="G343" s="15">
        <v>2</v>
      </c>
      <c r="H343" s="21">
        <v>3</v>
      </c>
      <c r="I343" s="15">
        <v>3</v>
      </c>
      <c r="J343" s="15">
        <v>1</v>
      </c>
      <c r="K343" s="21">
        <v>3</v>
      </c>
      <c r="L343" s="15">
        <v>2</v>
      </c>
      <c r="M343" s="15">
        <v>1</v>
      </c>
      <c r="N343" s="21">
        <v>3</v>
      </c>
      <c r="O343" s="15">
        <v>4</v>
      </c>
      <c r="P343" s="15">
        <v>3</v>
      </c>
      <c r="Q343" s="21">
        <v>3</v>
      </c>
      <c r="R343" s="15">
        <f t="shared" si="20"/>
        <v>2.6666666666666665</v>
      </c>
      <c r="S343" s="15">
        <f t="shared" si="21"/>
        <v>2.3333333333333335</v>
      </c>
      <c r="T343" s="15">
        <f t="shared" si="22"/>
        <v>2</v>
      </c>
      <c r="U343" s="15">
        <f t="shared" si="23"/>
        <v>3.3333333333333335</v>
      </c>
    </row>
    <row r="344" spans="1:21" ht="54" x14ac:dyDescent="0.3">
      <c r="A344" s="15">
        <v>9338</v>
      </c>
      <c r="B344" s="15">
        <v>14021</v>
      </c>
      <c r="C344" s="15">
        <v>1</v>
      </c>
      <c r="D344" s="15" t="s">
        <v>11</v>
      </c>
      <c r="E344" s="20" t="s">
        <v>361</v>
      </c>
      <c r="F344" s="15">
        <v>4</v>
      </c>
      <c r="G344" s="15">
        <v>3</v>
      </c>
      <c r="H344" s="21">
        <v>3</v>
      </c>
      <c r="I344" s="15">
        <v>3</v>
      </c>
      <c r="J344" s="15">
        <v>3</v>
      </c>
      <c r="K344" s="21">
        <v>3</v>
      </c>
      <c r="L344" s="15">
        <v>4</v>
      </c>
      <c r="M344" s="15">
        <v>1</v>
      </c>
      <c r="N344" s="21">
        <v>3</v>
      </c>
      <c r="O344" s="15">
        <v>4</v>
      </c>
      <c r="P344" s="15">
        <v>3</v>
      </c>
      <c r="Q344" s="21">
        <v>3</v>
      </c>
      <c r="R344" s="15">
        <f t="shared" si="20"/>
        <v>3.3333333333333335</v>
      </c>
      <c r="S344" s="15">
        <f t="shared" si="21"/>
        <v>3</v>
      </c>
      <c r="T344" s="15">
        <f t="shared" si="22"/>
        <v>2.6666666666666665</v>
      </c>
      <c r="U344" s="15">
        <f t="shared" si="23"/>
        <v>3.3333333333333335</v>
      </c>
    </row>
    <row r="345" spans="1:21" ht="67.5" x14ac:dyDescent="0.3">
      <c r="A345" s="15">
        <v>3969</v>
      </c>
      <c r="B345" s="15">
        <v>14201</v>
      </c>
      <c r="C345" s="15">
        <v>1</v>
      </c>
      <c r="D345" s="15" t="s">
        <v>4</v>
      </c>
      <c r="E345" s="20" t="s">
        <v>362</v>
      </c>
      <c r="F345" s="15">
        <v>4</v>
      </c>
      <c r="G345" s="15">
        <v>3</v>
      </c>
      <c r="H345" s="21">
        <v>3</v>
      </c>
      <c r="I345" s="15">
        <v>4</v>
      </c>
      <c r="J345" s="15">
        <v>3</v>
      </c>
      <c r="K345" s="21">
        <v>3</v>
      </c>
      <c r="L345" s="15">
        <v>2</v>
      </c>
      <c r="M345" s="15">
        <v>1</v>
      </c>
      <c r="N345" s="21">
        <v>3</v>
      </c>
      <c r="O345" s="15">
        <v>4</v>
      </c>
      <c r="P345" s="15">
        <v>3</v>
      </c>
      <c r="Q345" s="21">
        <v>3</v>
      </c>
      <c r="R345" s="15">
        <f t="shared" si="20"/>
        <v>3.3333333333333335</v>
      </c>
      <c r="S345" s="15">
        <f t="shared" si="21"/>
        <v>3.3333333333333335</v>
      </c>
      <c r="T345" s="15">
        <f t="shared" si="22"/>
        <v>2</v>
      </c>
      <c r="U345" s="15">
        <f t="shared" si="23"/>
        <v>3.3333333333333335</v>
      </c>
    </row>
    <row r="346" spans="1:21" ht="54" x14ac:dyDescent="0.3">
      <c r="A346" s="15">
        <v>16342</v>
      </c>
      <c r="B346" s="15">
        <v>13889</v>
      </c>
      <c r="C346" s="15">
        <v>1</v>
      </c>
      <c r="D346" s="15" t="s">
        <v>245</v>
      </c>
      <c r="E346" s="20" t="s">
        <v>363</v>
      </c>
      <c r="F346" s="15">
        <v>4</v>
      </c>
      <c r="G346" s="15">
        <v>3</v>
      </c>
      <c r="H346" s="21">
        <v>3</v>
      </c>
      <c r="I346" s="15">
        <v>4</v>
      </c>
      <c r="J346" s="15">
        <v>3</v>
      </c>
      <c r="K346" s="21">
        <v>3</v>
      </c>
      <c r="L346" s="15">
        <v>2</v>
      </c>
      <c r="M346" s="15">
        <v>1</v>
      </c>
      <c r="N346" s="21">
        <v>2</v>
      </c>
      <c r="O346" s="15">
        <v>3</v>
      </c>
      <c r="P346" s="15">
        <v>3</v>
      </c>
      <c r="Q346" s="21">
        <v>3</v>
      </c>
      <c r="R346" s="15">
        <f t="shared" si="20"/>
        <v>3.3333333333333335</v>
      </c>
      <c r="S346" s="15">
        <f t="shared" si="21"/>
        <v>3.3333333333333335</v>
      </c>
      <c r="T346" s="15">
        <f t="shared" si="22"/>
        <v>1.6666666666666667</v>
      </c>
      <c r="U346" s="15">
        <f t="shared" si="23"/>
        <v>3</v>
      </c>
    </row>
    <row r="347" spans="1:21" ht="67.5" x14ac:dyDescent="0.3">
      <c r="A347" s="15">
        <v>2758</v>
      </c>
      <c r="B347" s="15">
        <v>14870</v>
      </c>
      <c r="C347" s="15">
        <v>1</v>
      </c>
      <c r="D347" s="15" t="s">
        <v>4</v>
      </c>
      <c r="E347" s="20" t="s">
        <v>364</v>
      </c>
      <c r="F347" s="15">
        <v>4</v>
      </c>
      <c r="G347" s="15">
        <v>3</v>
      </c>
      <c r="H347" s="21">
        <v>4</v>
      </c>
      <c r="I347" s="15">
        <v>3</v>
      </c>
      <c r="J347" s="15">
        <v>1</v>
      </c>
      <c r="K347" s="21">
        <v>3</v>
      </c>
      <c r="L347" s="15">
        <v>2</v>
      </c>
      <c r="M347" s="15">
        <v>1</v>
      </c>
      <c r="N347" s="21">
        <v>3</v>
      </c>
      <c r="O347" s="15">
        <v>4</v>
      </c>
      <c r="P347" s="15">
        <v>3</v>
      </c>
      <c r="Q347" s="21">
        <v>4</v>
      </c>
      <c r="R347" s="15">
        <f t="shared" si="20"/>
        <v>3.6666666666666665</v>
      </c>
      <c r="S347" s="15">
        <f t="shared" si="21"/>
        <v>2.3333333333333335</v>
      </c>
      <c r="T347" s="15">
        <f t="shared" si="22"/>
        <v>2</v>
      </c>
      <c r="U347" s="15">
        <f t="shared" si="23"/>
        <v>3.6666666666666665</v>
      </c>
    </row>
    <row r="348" spans="1:21" ht="54" x14ac:dyDescent="0.3">
      <c r="A348" s="15">
        <v>4088</v>
      </c>
      <c r="B348" s="15">
        <v>12923</v>
      </c>
      <c r="C348" s="15">
        <v>1</v>
      </c>
      <c r="D348" s="15" t="s">
        <v>233</v>
      </c>
      <c r="E348" s="20" t="s">
        <v>365</v>
      </c>
      <c r="F348" s="15">
        <v>4</v>
      </c>
      <c r="G348" s="15">
        <v>3</v>
      </c>
      <c r="H348" s="21">
        <v>3</v>
      </c>
      <c r="I348" s="15">
        <v>3</v>
      </c>
      <c r="J348" s="15">
        <v>3</v>
      </c>
      <c r="K348" s="21">
        <v>3</v>
      </c>
      <c r="L348" s="15">
        <v>2</v>
      </c>
      <c r="M348" s="15">
        <v>1</v>
      </c>
      <c r="N348" s="21">
        <v>3</v>
      </c>
      <c r="O348" s="15">
        <v>3</v>
      </c>
      <c r="P348" s="15">
        <v>3</v>
      </c>
      <c r="Q348" s="21">
        <v>3</v>
      </c>
      <c r="R348" s="15">
        <f t="shared" si="20"/>
        <v>3.3333333333333335</v>
      </c>
      <c r="S348" s="15">
        <f t="shared" si="21"/>
        <v>3</v>
      </c>
      <c r="T348" s="15">
        <f t="shared" si="22"/>
        <v>2</v>
      </c>
      <c r="U348" s="15">
        <f t="shared" si="23"/>
        <v>3</v>
      </c>
    </row>
    <row r="349" spans="1:21" ht="40.5" x14ac:dyDescent="0.3">
      <c r="A349" s="15">
        <v>5597</v>
      </c>
      <c r="B349" s="15">
        <v>12299</v>
      </c>
      <c r="C349" s="15">
        <v>1</v>
      </c>
      <c r="D349" s="15" t="s">
        <v>4</v>
      </c>
      <c r="E349" s="20" t="s">
        <v>366</v>
      </c>
      <c r="F349" s="15">
        <v>3</v>
      </c>
      <c r="G349" s="15">
        <v>2</v>
      </c>
      <c r="H349" s="21">
        <v>3</v>
      </c>
      <c r="I349" s="15">
        <v>3</v>
      </c>
      <c r="J349" s="15">
        <v>3</v>
      </c>
      <c r="K349" s="21">
        <v>3</v>
      </c>
      <c r="L349" s="15">
        <v>2</v>
      </c>
      <c r="M349" s="15">
        <v>1</v>
      </c>
      <c r="N349" s="21">
        <v>3</v>
      </c>
      <c r="O349" s="15">
        <v>4</v>
      </c>
      <c r="P349" s="15">
        <v>3</v>
      </c>
      <c r="Q349" s="21">
        <v>3</v>
      </c>
      <c r="R349" s="15">
        <f t="shared" si="20"/>
        <v>2.6666666666666665</v>
      </c>
      <c r="S349" s="15">
        <f t="shared" si="21"/>
        <v>3</v>
      </c>
      <c r="T349" s="15">
        <f t="shared" si="22"/>
        <v>2</v>
      </c>
      <c r="U349" s="15">
        <f t="shared" si="23"/>
        <v>3.3333333333333335</v>
      </c>
    </row>
    <row r="350" spans="1:21" ht="40.5" x14ac:dyDescent="0.3">
      <c r="A350" s="15">
        <v>16653</v>
      </c>
      <c r="B350" s="15">
        <v>11126</v>
      </c>
      <c r="C350" s="15">
        <v>1</v>
      </c>
      <c r="D350" s="15" t="s">
        <v>4</v>
      </c>
      <c r="E350" s="20" t="s">
        <v>367</v>
      </c>
      <c r="F350" s="15">
        <v>3</v>
      </c>
      <c r="G350" s="15">
        <v>3</v>
      </c>
      <c r="H350" s="21">
        <v>3</v>
      </c>
      <c r="I350" s="15">
        <v>3</v>
      </c>
      <c r="J350" s="15">
        <v>3</v>
      </c>
      <c r="K350" s="21">
        <v>3</v>
      </c>
      <c r="L350" s="15">
        <v>2</v>
      </c>
      <c r="M350" s="15">
        <v>1</v>
      </c>
      <c r="N350" s="21">
        <v>2</v>
      </c>
      <c r="O350" s="15">
        <v>4</v>
      </c>
      <c r="P350" s="15">
        <v>3</v>
      </c>
      <c r="Q350" s="21">
        <v>3</v>
      </c>
      <c r="R350" s="15">
        <f t="shared" si="20"/>
        <v>3</v>
      </c>
      <c r="S350" s="15">
        <f t="shared" si="21"/>
        <v>3</v>
      </c>
      <c r="T350" s="15">
        <f t="shared" si="22"/>
        <v>1.6666666666666667</v>
      </c>
      <c r="U350" s="15">
        <f t="shared" si="23"/>
        <v>3.3333333333333335</v>
      </c>
    </row>
    <row r="351" spans="1:21" ht="40.5" x14ac:dyDescent="0.3">
      <c r="A351" s="15">
        <v>12463</v>
      </c>
      <c r="B351" s="15">
        <v>13629</v>
      </c>
      <c r="C351" s="15">
        <v>1</v>
      </c>
      <c r="D351" s="15" t="s">
        <v>11</v>
      </c>
      <c r="E351" s="20" t="s">
        <v>368</v>
      </c>
      <c r="F351" s="15">
        <v>4</v>
      </c>
      <c r="G351" s="15">
        <v>3</v>
      </c>
      <c r="H351" s="21">
        <v>3</v>
      </c>
      <c r="I351" s="15">
        <v>3</v>
      </c>
      <c r="J351" s="15">
        <v>1</v>
      </c>
      <c r="K351" s="21">
        <v>3</v>
      </c>
      <c r="L351" s="15">
        <v>2</v>
      </c>
      <c r="M351" s="15">
        <v>1</v>
      </c>
      <c r="N351" s="21">
        <v>3</v>
      </c>
      <c r="O351" s="15">
        <v>4</v>
      </c>
      <c r="P351" s="15">
        <v>3</v>
      </c>
      <c r="Q351" s="21">
        <v>3</v>
      </c>
      <c r="R351" s="15">
        <f t="shared" si="20"/>
        <v>3.3333333333333335</v>
      </c>
      <c r="S351" s="15">
        <f t="shared" si="21"/>
        <v>2.3333333333333335</v>
      </c>
      <c r="T351" s="15">
        <f t="shared" si="22"/>
        <v>2</v>
      </c>
      <c r="U351" s="15">
        <f t="shared" si="23"/>
        <v>3.3333333333333335</v>
      </c>
    </row>
    <row r="352" spans="1:21" ht="40.5" x14ac:dyDescent="0.3">
      <c r="A352" s="15">
        <v>3799</v>
      </c>
      <c r="B352" s="15">
        <v>11922</v>
      </c>
      <c r="C352" s="15">
        <v>1</v>
      </c>
      <c r="D352" s="15" t="s">
        <v>233</v>
      </c>
      <c r="E352" s="20" t="s">
        <v>369</v>
      </c>
      <c r="F352" s="15">
        <v>3</v>
      </c>
      <c r="G352" s="15">
        <v>3</v>
      </c>
      <c r="H352" s="21">
        <v>3</v>
      </c>
      <c r="I352" s="15">
        <v>3</v>
      </c>
      <c r="J352" s="15">
        <v>1</v>
      </c>
      <c r="K352" s="21">
        <v>3</v>
      </c>
      <c r="L352" s="15">
        <v>3</v>
      </c>
      <c r="M352" s="15">
        <v>1</v>
      </c>
      <c r="N352" s="21">
        <v>2</v>
      </c>
      <c r="O352" s="15">
        <v>5</v>
      </c>
      <c r="P352" s="15">
        <v>3</v>
      </c>
      <c r="Q352" s="21">
        <v>3</v>
      </c>
      <c r="R352" s="15">
        <f t="shared" si="20"/>
        <v>3</v>
      </c>
      <c r="S352" s="15">
        <f t="shared" si="21"/>
        <v>2.3333333333333335</v>
      </c>
      <c r="T352" s="15">
        <f t="shared" si="22"/>
        <v>2</v>
      </c>
      <c r="U352" s="15">
        <f t="shared" si="23"/>
        <v>3.6666666666666665</v>
      </c>
    </row>
    <row r="353" spans="1:21" ht="54" x14ac:dyDescent="0.3">
      <c r="A353" s="15">
        <v>4249</v>
      </c>
      <c r="B353" s="15">
        <v>11658</v>
      </c>
      <c r="C353" s="15">
        <v>1</v>
      </c>
      <c r="D353" s="15" t="s">
        <v>6</v>
      </c>
      <c r="E353" s="20" t="s">
        <v>370</v>
      </c>
      <c r="F353" s="15">
        <v>3</v>
      </c>
      <c r="G353" s="15">
        <v>3</v>
      </c>
      <c r="H353" s="21">
        <v>4</v>
      </c>
      <c r="I353" s="15">
        <v>3</v>
      </c>
      <c r="J353" s="15">
        <v>3</v>
      </c>
      <c r="K353" s="21">
        <v>3</v>
      </c>
      <c r="L353" s="15">
        <v>3</v>
      </c>
      <c r="M353" s="15">
        <v>1</v>
      </c>
      <c r="N353" s="21">
        <v>3</v>
      </c>
      <c r="O353" s="15">
        <v>5</v>
      </c>
      <c r="P353" s="15">
        <v>3</v>
      </c>
      <c r="Q353" s="21">
        <v>4</v>
      </c>
      <c r="R353" s="15">
        <f t="shared" si="20"/>
        <v>3.3333333333333335</v>
      </c>
      <c r="S353" s="15">
        <f t="shared" si="21"/>
        <v>3</v>
      </c>
      <c r="T353" s="15">
        <f t="shared" si="22"/>
        <v>2.3333333333333335</v>
      </c>
      <c r="U353" s="15">
        <f t="shared" si="23"/>
        <v>4</v>
      </c>
    </row>
    <row r="354" spans="1:21" ht="67.5" x14ac:dyDescent="0.3">
      <c r="A354" s="15">
        <v>8201</v>
      </c>
      <c r="B354" s="15">
        <v>10584</v>
      </c>
      <c r="C354" s="15">
        <v>1</v>
      </c>
      <c r="D354" s="15" t="s">
        <v>4</v>
      </c>
      <c r="E354" s="20" t="s">
        <v>371</v>
      </c>
      <c r="F354" s="15">
        <v>4</v>
      </c>
      <c r="G354" s="15">
        <v>4</v>
      </c>
      <c r="H354" s="21">
        <v>4</v>
      </c>
      <c r="I354" s="15">
        <v>3</v>
      </c>
      <c r="J354" s="15">
        <v>3</v>
      </c>
      <c r="K354" s="21">
        <v>3</v>
      </c>
      <c r="L354" s="15">
        <v>4</v>
      </c>
      <c r="M354" s="15">
        <v>1</v>
      </c>
      <c r="N354" s="21">
        <v>3</v>
      </c>
      <c r="O354" s="15">
        <v>4</v>
      </c>
      <c r="P354" s="15">
        <v>4</v>
      </c>
      <c r="Q354" s="21">
        <v>4</v>
      </c>
      <c r="R354" s="15">
        <f t="shared" si="20"/>
        <v>4</v>
      </c>
      <c r="S354" s="15">
        <f t="shared" si="21"/>
        <v>3</v>
      </c>
      <c r="T354" s="15">
        <f t="shared" si="22"/>
        <v>2.6666666666666665</v>
      </c>
      <c r="U354" s="15">
        <f t="shared" si="23"/>
        <v>4</v>
      </c>
    </row>
    <row r="355" spans="1:21" ht="54" x14ac:dyDescent="0.3">
      <c r="A355" s="15">
        <v>2756</v>
      </c>
      <c r="B355" s="15">
        <v>10872</v>
      </c>
      <c r="C355" s="15">
        <v>1</v>
      </c>
      <c r="D355" s="15" t="s">
        <v>23</v>
      </c>
      <c r="E355" s="20" t="s">
        <v>372</v>
      </c>
      <c r="F355" s="15">
        <v>4</v>
      </c>
      <c r="G355" s="15">
        <v>3</v>
      </c>
      <c r="H355" s="21">
        <v>3</v>
      </c>
      <c r="I355" s="15">
        <v>4</v>
      </c>
      <c r="J355" s="15">
        <v>3</v>
      </c>
      <c r="K355" s="21">
        <v>3</v>
      </c>
      <c r="L355" s="15">
        <v>2</v>
      </c>
      <c r="M355" s="15">
        <v>1</v>
      </c>
      <c r="N355" s="21">
        <v>1</v>
      </c>
      <c r="O355" s="15">
        <v>4</v>
      </c>
      <c r="P355" s="15">
        <v>3</v>
      </c>
      <c r="Q355" s="21">
        <v>2</v>
      </c>
      <c r="R355" s="15">
        <f t="shared" si="20"/>
        <v>3.3333333333333335</v>
      </c>
      <c r="S355" s="15">
        <f t="shared" si="21"/>
        <v>3.3333333333333335</v>
      </c>
      <c r="T355" s="15">
        <f t="shared" si="22"/>
        <v>1.3333333333333333</v>
      </c>
      <c r="U355" s="15">
        <f t="shared" si="23"/>
        <v>3</v>
      </c>
    </row>
    <row r="356" spans="1:21" ht="27" x14ac:dyDescent="0.3">
      <c r="A356" s="15">
        <v>3486</v>
      </c>
      <c r="B356" s="15">
        <v>12107</v>
      </c>
      <c r="C356" s="15">
        <v>1</v>
      </c>
      <c r="D356" s="15" t="s">
        <v>13</v>
      </c>
      <c r="E356" s="20" t="s">
        <v>373</v>
      </c>
      <c r="F356" s="15">
        <v>3</v>
      </c>
      <c r="G356" s="15">
        <v>2</v>
      </c>
      <c r="H356" s="21">
        <v>3</v>
      </c>
      <c r="I356" s="15">
        <v>3</v>
      </c>
      <c r="J356" s="15">
        <v>3</v>
      </c>
      <c r="K356" s="21">
        <v>3</v>
      </c>
      <c r="L356" s="15">
        <v>2</v>
      </c>
      <c r="M356" s="15">
        <v>1</v>
      </c>
      <c r="N356" s="21">
        <v>1</v>
      </c>
      <c r="O356" s="15">
        <v>3</v>
      </c>
      <c r="P356" s="15">
        <v>3</v>
      </c>
      <c r="Q356" s="21">
        <v>3</v>
      </c>
      <c r="R356" s="15">
        <f t="shared" si="20"/>
        <v>2.6666666666666665</v>
      </c>
      <c r="S356" s="15">
        <f t="shared" si="21"/>
        <v>3</v>
      </c>
      <c r="T356" s="15">
        <f t="shared" si="22"/>
        <v>1.3333333333333333</v>
      </c>
      <c r="U356" s="15">
        <f t="shared" si="23"/>
        <v>3</v>
      </c>
    </row>
    <row r="357" spans="1:21" ht="40.5" x14ac:dyDescent="0.3">
      <c r="A357" s="15">
        <v>295</v>
      </c>
      <c r="B357" s="15">
        <v>10241</v>
      </c>
      <c r="C357" s="15">
        <v>1</v>
      </c>
      <c r="D357" s="15" t="s">
        <v>4</v>
      </c>
      <c r="E357" s="20" t="s">
        <v>374</v>
      </c>
      <c r="F357" s="15">
        <v>3</v>
      </c>
      <c r="G357" s="15">
        <v>3</v>
      </c>
      <c r="H357" s="21">
        <v>4</v>
      </c>
      <c r="I357" s="15">
        <v>3</v>
      </c>
      <c r="J357" s="15">
        <v>1</v>
      </c>
      <c r="K357" s="21">
        <v>3</v>
      </c>
      <c r="L357" s="15">
        <v>2</v>
      </c>
      <c r="M357" s="15">
        <v>1</v>
      </c>
      <c r="N357" s="21">
        <v>3</v>
      </c>
      <c r="O357" s="15">
        <v>4</v>
      </c>
      <c r="P357" s="15">
        <v>3</v>
      </c>
      <c r="Q357" s="21">
        <v>4</v>
      </c>
      <c r="R357" s="15">
        <f t="shared" si="20"/>
        <v>3.3333333333333335</v>
      </c>
      <c r="S357" s="15">
        <f t="shared" si="21"/>
        <v>2.3333333333333335</v>
      </c>
      <c r="T357" s="15">
        <f t="shared" si="22"/>
        <v>2</v>
      </c>
      <c r="U357" s="15">
        <f t="shared" si="23"/>
        <v>3.6666666666666665</v>
      </c>
    </row>
    <row r="358" spans="1:21" ht="54" x14ac:dyDescent="0.3">
      <c r="A358" s="15">
        <v>13612</v>
      </c>
      <c r="B358" s="15">
        <v>14856</v>
      </c>
      <c r="C358" s="15">
        <v>1</v>
      </c>
      <c r="D358" s="15" t="s">
        <v>4</v>
      </c>
      <c r="E358" s="20" t="s">
        <v>375</v>
      </c>
      <c r="F358" s="15">
        <v>3</v>
      </c>
      <c r="G358" s="15">
        <v>3</v>
      </c>
      <c r="H358" s="21">
        <v>3</v>
      </c>
      <c r="I358" s="15">
        <v>3</v>
      </c>
      <c r="J358" s="15">
        <v>3</v>
      </c>
      <c r="K358" s="21">
        <v>3</v>
      </c>
      <c r="L358" s="15">
        <v>2</v>
      </c>
      <c r="M358" s="15">
        <v>1</v>
      </c>
      <c r="N358" s="21">
        <v>1</v>
      </c>
      <c r="O358" s="15">
        <v>3</v>
      </c>
      <c r="P358" s="15">
        <v>3</v>
      </c>
      <c r="Q358" s="21">
        <v>3</v>
      </c>
      <c r="R358" s="15">
        <f t="shared" si="20"/>
        <v>3</v>
      </c>
      <c r="S358" s="15">
        <f t="shared" si="21"/>
        <v>3</v>
      </c>
      <c r="T358" s="15">
        <f t="shared" si="22"/>
        <v>1.3333333333333333</v>
      </c>
      <c r="U358" s="15">
        <f t="shared" si="23"/>
        <v>3</v>
      </c>
    </row>
    <row r="359" spans="1:21" ht="67.5" x14ac:dyDescent="0.3">
      <c r="A359" s="15">
        <v>5657</v>
      </c>
      <c r="B359" s="15">
        <v>11282</v>
      </c>
      <c r="C359" s="15">
        <v>1</v>
      </c>
      <c r="D359" s="15" t="s">
        <v>4</v>
      </c>
      <c r="E359" s="20" t="s">
        <v>376</v>
      </c>
      <c r="F359" s="15">
        <v>4</v>
      </c>
      <c r="G359" s="15">
        <v>3</v>
      </c>
      <c r="H359" s="21">
        <v>3</v>
      </c>
      <c r="I359" s="15">
        <v>4</v>
      </c>
      <c r="J359" s="15">
        <v>3</v>
      </c>
      <c r="K359" s="21">
        <v>3</v>
      </c>
      <c r="L359" s="15">
        <v>2</v>
      </c>
      <c r="M359" s="15">
        <v>1</v>
      </c>
      <c r="N359" s="21">
        <v>3</v>
      </c>
      <c r="O359" s="15">
        <v>4</v>
      </c>
      <c r="P359" s="15">
        <v>3</v>
      </c>
      <c r="Q359" s="21">
        <v>3</v>
      </c>
      <c r="R359" s="15">
        <f t="shared" si="20"/>
        <v>3.3333333333333335</v>
      </c>
      <c r="S359" s="15">
        <f t="shared" si="21"/>
        <v>3.3333333333333335</v>
      </c>
      <c r="T359" s="15">
        <f t="shared" si="22"/>
        <v>2</v>
      </c>
      <c r="U359" s="15">
        <f t="shared" si="23"/>
        <v>3.3333333333333335</v>
      </c>
    </row>
    <row r="360" spans="1:21" ht="27" x14ac:dyDescent="0.3">
      <c r="A360" s="15">
        <v>12829</v>
      </c>
      <c r="B360" s="15">
        <v>12443</v>
      </c>
      <c r="C360" s="15">
        <v>1</v>
      </c>
      <c r="D360" s="15" t="s">
        <v>4</v>
      </c>
      <c r="E360" s="20" t="s">
        <v>377</v>
      </c>
      <c r="F360" s="15">
        <v>3</v>
      </c>
      <c r="G360" s="15">
        <v>2</v>
      </c>
      <c r="H360" s="21">
        <v>3</v>
      </c>
      <c r="I360" s="15">
        <v>3</v>
      </c>
      <c r="J360" s="15">
        <v>3</v>
      </c>
      <c r="K360" s="21">
        <v>3</v>
      </c>
      <c r="L360" s="15">
        <v>2</v>
      </c>
      <c r="M360" s="15">
        <v>1</v>
      </c>
      <c r="N360" s="21">
        <v>1</v>
      </c>
      <c r="O360" s="15">
        <v>4</v>
      </c>
      <c r="P360" s="15">
        <v>3</v>
      </c>
      <c r="Q360" s="21">
        <v>3</v>
      </c>
      <c r="R360" s="15">
        <f t="shared" si="20"/>
        <v>2.6666666666666665</v>
      </c>
      <c r="S360" s="15">
        <f t="shared" si="21"/>
        <v>3</v>
      </c>
      <c r="T360" s="15">
        <f t="shared" si="22"/>
        <v>1.3333333333333333</v>
      </c>
      <c r="U360" s="15">
        <f t="shared" si="23"/>
        <v>3.3333333333333335</v>
      </c>
    </row>
    <row r="361" spans="1:21" ht="94.5" x14ac:dyDescent="0.3">
      <c r="A361" s="15">
        <v>9194</v>
      </c>
      <c r="B361" s="15">
        <v>11808</v>
      </c>
      <c r="C361" s="15">
        <v>1</v>
      </c>
      <c r="D361" s="15" t="s">
        <v>4</v>
      </c>
      <c r="E361" s="20" t="s">
        <v>378</v>
      </c>
      <c r="F361" s="15">
        <v>4</v>
      </c>
      <c r="G361" s="15">
        <v>4</v>
      </c>
      <c r="H361" s="21">
        <v>5</v>
      </c>
      <c r="I361" s="15">
        <v>4</v>
      </c>
      <c r="J361" s="15">
        <v>3</v>
      </c>
      <c r="K361" s="21">
        <v>5</v>
      </c>
      <c r="L361" s="15">
        <v>2</v>
      </c>
      <c r="M361" s="15">
        <v>1</v>
      </c>
      <c r="N361" s="21">
        <v>3</v>
      </c>
      <c r="O361" s="15">
        <v>4</v>
      </c>
      <c r="P361" s="15">
        <v>4</v>
      </c>
      <c r="Q361" s="21">
        <v>5</v>
      </c>
      <c r="R361" s="15">
        <f t="shared" si="20"/>
        <v>4.333333333333333</v>
      </c>
      <c r="S361" s="15">
        <f t="shared" si="21"/>
        <v>4</v>
      </c>
      <c r="T361" s="15">
        <f t="shared" si="22"/>
        <v>2</v>
      </c>
      <c r="U361" s="15">
        <f t="shared" si="23"/>
        <v>4.333333333333333</v>
      </c>
    </row>
    <row r="362" spans="1:21" ht="27" x14ac:dyDescent="0.3">
      <c r="A362" s="15">
        <v>10131</v>
      </c>
      <c r="B362" s="15">
        <v>10874</v>
      </c>
      <c r="C362" s="15">
        <v>1</v>
      </c>
      <c r="D362" s="15" t="s">
        <v>13</v>
      </c>
      <c r="E362" s="20" t="s">
        <v>379</v>
      </c>
      <c r="F362" s="15">
        <v>3</v>
      </c>
      <c r="G362" s="15">
        <v>2</v>
      </c>
      <c r="H362" s="21">
        <v>3</v>
      </c>
      <c r="I362" s="15">
        <v>3</v>
      </c>
      <c r="J362" s="15">
        <v>3</v>
      </c>
      <c r="K362" s="21">
        <v>3</v>
      </c>
      <c r="L362" s="15">
        <v>2</v>
      </c>
      <c r="M362" s="15">
        <v>1</v>
      </c>
      <c r="N362" s="21">
        <v>1</v>
      </c>
      <c r="O362" s="15">
        <v>4</v>
      </c>
      <c r="P362" s="15">
        <v>3</v>
      </c>
      <c r="Q362" s="21">
        <v>3</v>
      </c>
      <c r="R362" s="15">
        <f t="shared" si="20"/>
        <v>2.6666666666666665</v>
      </c>
      <c r="S362" s="15">
        <f t="shared" si="21"/>
        <v>3</v>
      </c>
      <c r="T362" s="15">
        <f t="shared" si="22"/>
        <v>1.3333333333333333</v>
      </c>
      <c r="U362" s="15">
        <f t="shared" si="23"/>
        <v>3.3333333333333335</v>
      </c>
    </row>
    <row r="363" spans="1:21" ht="40.5" x14ac:dyDescent="0.3">
      <c r="A363" s="15">
        <v>10257</v>
      </c>
      <c r="B363" s="15">
        <v>14744</v>
      </c>
      <c r="C363" s="15">
        <v>1</v>
      </c>
      <c r="D363" s="15" t="s">
        <v>4</v>
      </c>
      <c r="E363" s="20" t="s">
        <v>380</v>
      </c>
      <c r="F363" s="15">
        <v>4</v>
      </c>
      <c r="G363" s="15">
        <v>4</v>
      </c>
      <c r="H363" s="21">
        <v>4</v>
      </c>
      <c r="I363" s="15">
        <v>3</v>
      </c>
      <c r="J363" s="15">
        <v>3</v>
      </c>
      <c r="K363" s="21">
        <v>3</v>
      </c>
      <c r="L363" s="15">
        <v>2</v>
      </c>
      <c r="M363" s="15">
        <v>1</v>
      </c>
      <c r="N363" s="21">
        <v>3</v>
      </c>
      <c r="O363" s="15">
        <v>4</v>
      </c>
      <c r="P363" s="15">
        <v>3</v>
      </c>
      <c r="Q363" s="21">
        <v>4</v>
      </c>
      <c r="R363" s="15">
        <f t="shared" si="20"/>
        <v>4</v>
      </c>
      <c r="S363" s="15">
        <f t="shared" si="21"/>
        <v>3</v>
      </c>
      <c r="T363" s="15">
        <f t="shared" si="22"/>
        <v>2</v>
      </c>
      <c r="U363" s="15">
        <f t="shared" si="23"/>
        <v>3.6666666666666665</v>
      </c>
    </row>
    <row r="364" spans="1:21" ht="54" x14ac:dyDescent="0.3">
      <c r="A364" s="15">
        <v>5742</v>
      </c>
      <c r="B364" s="15">
        <v>11907</v>
      </c>
      <c r="C364" s="15">
        <v>1</v>
      </c>
      <c r="D364" s="15" t="s">
        <v>231</v>
      </c>
      <c r="E364" s="20" t="s">
        <v>381</v>
      </c>
      <c r="F364" s="15">
        <v>4</v>
      </c>
      <c r="G364" s="15">
        <v>3</v>
      </c>
      <c r="H364" s="21">
        <v>3</v>
      </c>
      <c r="I364" s="15">
        <v>3</v>
      </c>
      <c r="J364" s="15">
        <v>3</v>
      </c>
      <c r="K364" s="21">
        <v>3</v>
      </c>
      <c r="L364" s="15">
        <v>2</v>
      </c>
      <c r="M364" s="15">
        <v>1</v>
      </c>
      <c r="N364" s="21">
        <v>1</v>
      </c>
      <c r="O364" s="15">
        <v>3</v>
      </c>
      <c r="P364" s="15">
        <v>3</v>
      </c>
      <c r="Q364" s="21">
        <v>3</v>
      </c>
      <c r="R364" s="15">
        <f t="shared" si="20"/>
        <v>3.3333333333333335</v>
      </c>
      <c r="S364" s="15">
        <f t="shared" si="21"/>
        <v>3</v>
      </c>
      <c r="T364" s="15">
        <f t="shared" si="22"/>
        <v>1.3333333333333333</v>
      </c>
      <c r="U364" s="15">
        <f t="shared" si="23"/>
        <v>3</v>
      </c>
    </row>
    <row r="365" spans="1:21" ht="40.5" x14ac:dyDescent="0.3">
      <c r="A365" s="15">
        <v>15968</v>
      </c>
      <c r="B365" s="15">
        <v>13945</v>
      </c>
      <c r="C365" s="15">
        <v>1</v>
      </c>
      <c r="D365" s="15" t="s">
        <v>11</v>
      </c>
      <c r="E365" s="20" t="s">
        <v>382</v>
      </c>
      <c r="F365" s="15">
        <v>3</v>
      </c>
      <c r="G365" s="15">
        <v>3</v>
      </c>
      <c r="H365" s="21">
        <v>3</v>
      </c>
      <c r="I365" s="15">
        <v>3</v>
      </c>
      <c r="J365" s="15">
        <v>1</v>
      </c>
      <c r="K365" s="21">
        <v>3</v>
      </c>
      <c r="L365" s="15">
        <v>2</v>
      </c>
      <c r="M365" s="15">
        <v>1</v>
      </c>
      <c r="N365" s="21">
        <v>3</v>
      </c>
      <c r="O365" s="15">
        <v>4</v>
      </c>
      <c r="P365" s="15">
        <v>3</v>
      </c>
      <c r="Q365" s="21">
        <v>3</v>
      </c>
      <c r="R365" s="15">
        <f t="shared" si="20"/>
        <v>3</v>
      </c>
      <c r="S365" s="15">
        <f t="shared" si="21"/>
        <v>2.3333333333333335</v>
      </c>
      <c r="T365" s="15">
        <f t="shared" si="22"/>
        <v>2</v>
      </c>
      <c r="U365" s="15">
        <f t="shared" si="23"/>
        <v>3.3333333333333335</v>
      </c>
    </row>
    <row r="366" spans="1:21" ht="54" x14ac:dyDescent="0.3">
      <c r="A366" s="15">
        <v>2700</v>
      </c>
      <c r="B366" s="15">
        <v>10662</v>
      </c>
      <c r="C366" s="15">
        <v>1</v>
      </c>
      <c r="D366" s="15" t="s">
        <v>4</v>
      </c>
      <c r="E366" s="20" t="s">
        <v>383</v>
      </c>
      <c r="F366" s="15">
        <v>4</v>
      </c>
      <c r="G366" s="15">
        <v>3</v>
      </c>
      <c r="H366" s="21">
        <v>5</v>
      </c>
      <c r="I366" s="15">
        <v>3</v>
      </c>
      <c r="J366" s="15">
        <v>3</v>
      </c>
      <c r="K366" s="21">
        <v>3</v>
      </c>
      <c r="L366" s="15">
        <v>2</v>
      </c>
      <c r="M366" s="15">
        <v>1</v>
      </c>
      <c r="N366" s="21">
        <v>3</v>
      </c>
      <c r="O366" s="15">
        <v>4</v>
      </c>
      <c r="P366" s="15">
        <v>3</v>
      </c>
      <c r="Q366" s="21">
        <v>5</v>
      </c>
      <c r="R366" s="15">
        <f t="shared" si="20"/>
        <v>4</v>
      </c>
      <c r="S366" s="15">
        <f t="shared" si="21"/>
        <v>3</v>
      </c>
      <c r="T366" s="15">
        <f t="shared" si="22"/>
        <v>2</v>
      </c>
      <c r="U366" s="15">
        <f t="shared" si="23"/>
        <v>4</v>
      </c>
    </row>
    <row r="367" spans="1:21" ht="135" x14ac:dyDescent="0.3">
      <c r="A367" s="15">
        <v>3943</v>
      </c>
      <c r="B367" s="15">
        <v>14365</v>
      </c>
      <c r="C367" s="15">
        <v>1</v>
      </c>
      <c r="D367" s="15" t="s">
        <v>4</v>
      </c>
      <c r="E367" s="20" t="s">
        <v>384</v>
      </c>
      <c r="F367" s="15">
        <v>5</v>
      </c>
      <c r="G367" s="15">
        <v>4</v>
      </c>
      <c r="H367" s="21">
        <v>4</v>
      </c>
      <c r="I367" s="15">
        <v>5</v>
      </c>
      <c r="J367" s="15">
        <v>5</v>
      </c>
      <c r="K367" s="21">
        <v>5</v>
      </c>
      <c r="L367" s="15">
        <v>2</v>
      </c>
      <c r="M367" s="15">
        <v>1</v>
      </c>
      <c r="N367" s="21">
        <v>3</v>
      </c>
      <c r="O367" s="15">
        <v>4</v>
      </c>
      <c r="P367" s="15">
        <v>4</v>
      </c>
      <c r="Q367" s="21">
        <v>4</v>
      </c>
      <c r="R367" s="15">
        <f t="shared" si="20"/>
        <v>4.333333333333333</v>
      </c>
      <c r="S367" s="15">
        <f t="shared" si="21"/>
        <v>5</v>
      </c>
      <c r="T367" s="15">
        <f t="shared" si="22"/>
        <v>2</v>
      </c>
      <c r="U367" s="15">
        <f t="shared" si="23"/>
        <v>4</v>
      </c>
    </row>
    <row r="368" spans="1:21" ht="54" x14ac:dyDescent="0.3">
      <c r="A368" s="15">
        <v>517</v>
      </c>
      <c r="B368" s="15">
        <v>10007</v>
      </c>
      <c r="C368" s="15">
        <v>1</v>
      </c>
      <c r="D368" s="15" t="s">
        <v>4</v>
      </c>
      <c r="E368" s="20" t="s">
        <v>385</v>
      </c>
      <c r="F368" s="15">
        <v>3</v>
      </c>
      <c r="G368" s="15">
        <v>5</v>
      </c>
      <c r="H368" s="21">
        <v>4</v>
      </c>
      <c r="I368" s="15">
        <v>3</v>
      </c>
      <c r="J368" s="15">
        <v>3</v>
      </c>
      <c r="K368" s="21">
        <v>3</v>
      </c>
      <c r="L368" s="15">
        <v>2</v>
      </c>
      <c r="M368" s="15">
        <v>1</v>
      </c>
      <c r="N368" s="21">
        <v>3</v>
      </c>
      <c r="O368" s="15">
        <v>4</v>
      </c>
      <c r="P368" s="15">
        <v>3</v>
      </c>
      <c r="Q368" s="21">
        <v>4</v>
      </c>
      <c r="R368" s="15">
        <f t="shared" si="20"/>
        <v>4</v>
      </c>
      <c r="S368" s="15">
        <f t="shared" si="21"/>
        <v>3</v>
      </c>
      <c r="T368" s="15">
        <f t="shared" si="22"/>
        <v>2</v>
      </c>
      <c r="U368" s="15">
        <f t="shared" si="23"/>
        <v>3.6666666666666665</v>
      </c>
    </row>
    <row r="369" spans="1:21" ht="27" x14ac:dyDescent="0.3">
      <c r="A369" s="15">
        <v>4026</v>
      </c>
      <c r="B369" s="15">
        <v>12486</v>
      </c>
      <c r="C369" s="15">
        <v>1</v>
      </c>
      <c r="D369" s="15" t="s">
        <v>4</v>
      </c>
      <c r="E369" s="20" t="s">
        <v>386</v>
      </c>
      <c r="F369" s="15">
        <v>3</v>
      </c>
      <c r="G369" s="15">
        <v>2</v>
      </c>
      <c r="H369" s="21">
        <v>3</v>
      </c>
      <c r="I369" s="15">
        <v>3</v>
      </c>
      <c r="J369" s="15">
        <v>3</v>
      </c>
      <c r="K369" s="21">
        <v>3</v>
      </c>
      <c r="L369" s="15">
        <v>2</v>
      </c>
      <c r="M369" s="15">
        <v>1</v>
      </c>
      <c r="N369" s="21">
        <v>1</v>
      </c>
      <c r="O369" s="15">
        <v>4</v>
      </c>
      <c r="P369" s="15">
        <v>2</v>
      </c>
      <c r="Q369" s="21">
        <v>3</v>
      </c>
      <c r="R369" s="15">
        <f t="shared" si="20"/>
        <v>2.6666666666666665</v>
      </c>
      <c r="S369" s="15">
        <f t="shared" si="21"/>
        <v>3</v>
      </c>
      <c r="T369" s="15">
        <f t="shared" si="22"/>
        <v>1.3333333333333333</v>
      </c>
      <c r="U369" s="15">
        <f t="shared" si="23"/>
        <v>3</v>
      </c>
    </row>
    <row r="370" spans="1:21" ht="67.5" x14ac:dyDescent="0.3">
      <c r="A370" s="15">
        <v>1079</v>
      </c>
      <c r="B370" s="15">
        <v>11783</v>
      </c>
      <c r="C370" s="15">
        <v>1</v>
      </c>
      <c r="D370" s="15" t="s">
        <v>4</v>
      </c>
      <c r="E370" s="20" t="s">
        <v>387</v>
      </c>
      <c r="F370" s="15">
        <v>4</v>
      </c>
      <c r="G370" s="15">
        <v>3</v>
      </c>
      <c r="H370" s="21">
        <v>5</v>
      </c>
      <c r="I370" s="15">
        <v>3</v>
      </c>
      <c r="J370" s="15">
        <v>3</v>
      </c>
      <c r="K370" s="21">
        <v>3</v>
      </c>
      <c r="L370" s="15">
        <v>2</v>
      </c>
      <c r="M370" s="15">
        <v>1</v>
      </c>
      <c r="N370" s="21">
        <v>3</v>
      </c>
      <c r="O370" s="15">
        <v>3</v>
      </c>
      <c r="P370" s="15">
        <v>3</v>
      </c>
      <c r="Q370" s="21">
        <v>5</v>
      </c>
      <c r="R370" s="15">
        <f t="shared" si="20"/>
        <v>4</v>
      </c>
      <c r="S370" s="15">
        <f t="shared" si="21"/>
        <v>3</v>
      </c>
      <c r="T370" s="15">
        <f t="shared" si="22"/>
        <v>2</v>
      </c>
      <c r="U370" s="15">
        <f t="shared" si="23"/>
        <v>3.6666666666666665</v>
      </c>
    </row>
    <row r="371" spans="1:21" ht="67.5" x14ac:dyDescent="0.3">
      <c r="A371" s="15">
        <v>14333</v>
      </c>
      <c r="B371" s="15">
        <v>12448</v>
      </c>
      <c r="C371" s="15">
        <v>1</v>
      </c>
      <c r="D371" s="15" t="s">
        <v>4</v>
      </c>
      <c r="E371" s="20" t="s">
        <v>388</v>
      </c>
      <c r="F371" s="15">
        <v>4</v>
      </c>
      <c r="G371" s="15">
        <v>3</v>
      </c>
      <c r="H371" s="21">
        <v>4</v>
      </c>
      <c r="I371" s="15">
        <v>3</v>
      </c>
      <c r="J371" s="15">
        <v>3</v>
      </c>
      <c r="K371" s="21">
        <v>3</v>
      </c>
      <c r="L371" s="15">
        <v>2</v>
      </c>
      <c r="M371" s="15">
        <v>1</v>
      </c>
      <c r="N371" s="21">
        <v>3</v>
      </c>
      <c r="O371" s="15">
        <v>4</v>
      </c>
      <c r="P371" s="15">
        <v>3</v>
      </c>
      <c r="Q371" s="21">
        <v>4</v>
      </c>
      <c r="R371" s="15">
        <f t="shared" si="20"/>
        <v>3.6666666666666665</v>
      </c>
      <c r="S371" s="15">
        <f t="shared" si="21"/>
        <v>3</v>
      </c>
      <c r="T371" s="15">
        <f t="shared" si="22"/>
        <v>2</v>
      </c>
      <c r="U371" s="15">
        <f t="shared" si="23"/>
        <v>3.6666666666666665</v>
      </c>
    </row>
    <row r="372" spans="1:21" ht="54" x14ac:dyDescent="0.3">
      <c r="A372" s="15">
        <v>10254</v>
      </c>
      <c r="B372" s="15">
        <v>14568</v>
      </c>
      <c r="C372" s="15">
        <v>1</v>
      </c>
      <c r="D372" s="15" t="s">
        <v>4</v>
      </c>
      <c r="E372" s="20" t="s">
        <v>389</v>
      </c>
      <c r="F372" s="15">
        <v>3</v>
      </c>
      <c r="G372" s="15">
        <v>3</v>
      </c>
      <c r="H372" s="21">
        <v>4</v>
      </c>
      <c r="I372" s="15">
        <v>3</v>
      </c>
      <c r="J372" s="15">
        <v>3</v>
      </c>
      <c r="K372" s="21">
        <v>3</v>
      </c>
      <c r="L372" s="15">
        <v>2</v>
      </c>
      <c r="M372" s="15">
        <v>1</v>
      </c>
      <c r="N372" s="21">
        <v>3</v>
      </c>
      <c r="O372" s="15">
        <v>4</v>
      </c>
      <c r="P372" s="15">
        <v>3</v>
      </c>
      <c r="Q372" s="21">
        <v>4</v>
      </c>
      <c r="R372" s="15">
        <f t="shared" si="20"/>
        <v>3.3333333333333335</v>
      </c>
      <c r="S372" s="15">
        <f t="shared" si="21"/>
        <v>3</v>
      </c>
      <c r="T372" s="15">
        <f t="shared" si="22"/>
        <v>2</v>
      </c>
      <c r="U372" s="15">
        <f t="shared" si="23"/>
        <v>3.6666666666666665</v>
      </c>
    </row>
    <row r="373" spans="1:21" ht="40.5" x14ac:dyDescent="0.3">
      <c r="A373" s="15">
        <v>9431</v>
      </c>
      <c r="B373" s="15">
        <v>14390</v>
      </c>
      <c r="C373" s="15">
        <v>1</v>
      </c>
      <c r="D373" s="15" t="s">
        <v>4</v>
      </c>
      <c r="E373" s="20" t="s">
        <v>390</v>
      </c>
      <c r="F373" s="15">
        <v>4</v>
      </c>
      <c r="G373" s="15">
        <v>3</v>
      </c>
      <c r="H373" s="21">
        <v>3</v>
      </c>
      <c r="I373" s="15">
        <v>3</v>
      </c>
      <c r="J373" s="15">
        <v>3</v>
      </c>
      <c r="K373" s="21">
        <v>3</v>
      </c>
      <c r="L373" s="15">
        <v>2</v>
      </c>
      <c r="M373" s="15">
        <v>1</v>
      </c>
      <c r="N373" s="21">
        <v>3</v>
      </c>
      <c r="O373" s="15">
        <v>2</v>
      </c>
      <c r="P373" s="15">
        <v>3</v>
      </c>
      <c r="Q373" s="21">
        <v>3</v>
      </c>
      <c r="R373" s="15">
        <f t="shared" si="20"/>
        <v>3.3333333333333335</v>
      </c>
      <c r="S373" s="15">
        <f t="shared" si="21"/>
        <v>3</v>
      </c>
      <c r="T373" s="15">
        <f t="shared" si="22"/>
        <v>2</v>
      </c>
      <c r="U373" s="15">
        <f t="shared" si="23"/>
        <v>2.6666666666666665</v>
      </c>
    </row>
    <row r="374" spans="1:21" ht="40.5" x14ac:dyDescent="0.3">
      <c r="A374" s="15">
        <v>4972</v>
      </c>
      <c r="B374" s="15">
        <v>11997</v>
      </c>
      <c r="C374" s="15">
        <v>1</v>
      </c>
      <c r="D374" s="15" t="s">
        <v>231</v>
      </c>
      <c r="E374" s="20" t="s">
        <v>391</v>
      </c>
      <c r="F374" s="15">
        <v>3</v>
      </c>
      <c r="G374" s="15">
        <v>3</v>
      </c>
      <c r="H374" s="21">
        <v>3</v>
      </c>
      <c r="I374" s="15">
        <v>3</v>
      </c>
      <c r="J374" s="15">
        <v>3</v>
      </c>
      <c r="K374" s="21">
        <v>3</v>
      </c>
      <c r="L374" s="15">
        <v>2</v>
      </c>
      <c r="M374" s="15">
        <v>1</v>
      </c>
      <c r="N374" s="21">
        <v>2</v>
      </c>
      <c r="O374" s="15">
        <v>4</v>
      </c>
      <c r="P374" s="15">
        <v>3</v>
      </c>
      <c r="Q374" s="21">
        <v>3</v>
      </c>
      <c r="R374" s="15">
        <f t="shared" si="20"/>
        <v>3</v>
      </c>
      <c r="S374" s="15">
        <f t="shared" si="21"/>
        <v>3</v>
      </c>
      <c r="T374" s="15">
        <f t="shared" si="22"/>
        <v>1.6666666666666667</v>
      </c>
      <c r="U374" s="15">
        <f t="shared" si="23"/>
        <v>3.3333333333333335</v>
      </c>
    </row>
    <row r="375" spans="1:21" ht="81" x14ac:dyDescent="0.3">
      <c r="A375" s="15">
        <v>8254</v>
      </c>
      <c r="B375" s="15">
        <v>13985</v>
      </c>
      <c r="C375" s="15">
        <v>1</v>
      </c>
      <c r="D375" s="15" t="s">
        <v>11</v>
      </c>
      <c r="E375" s="20" t="s">
        <v>392</v>
      </c>
      <c r="F375" s="15">
        <v>4</v>
      </c>
      <c r="G375" s="15">
        <v>3</v>
      </c>
      <c r="H375" s="21">
        <v>4</v>
      </c>
      <c r="I375" s="15">
        <v>3</v>
      </c>
      <c r="J375" s="15">
        <v>3</v>
      </c>
      <c r="K375" s="21">
        <v>5</v>
      </c>
      <c r="L375" s="15">
        <v>2</v>
      </c>
      <c r="M375" s="15">
        <v>1</v>
      </c>
      <c r="N375" s="21">
        <v>3</v>
      </c>
      <c r="O375" s="15">
        <v>3</v>
      </c>
      <c r="P375" s="15">
        <v>3</v>
      </c>
      <c r="Q375" s="21">
        <v>4</v>
      </c>
      <c r="R375" s="15">
        <f t="shared" si="20"/>
        <v>3.6666666666666665</v>
      </c>
      <c r="S375" s="15">
        <f t="shared" si="21"/>
        <v>3.6666666666666665</v>
      </c>
      <c r="T375" s="15">
        <f t="shared" si="22"/>
        <v>2</v>
      </c>
      <c r="U375" s="15">
        <f t="shared" si="23"/>
        <v>3.3333333333333335</v>
      </c>
    </row>
    <row r="376" spans="1:21" ht="135" x14ac:dyDescent="0.3">
      <c r="A376" s="15">
        <v>1418</v>
      </c>
      <c r="B376" s="15">
        <v>11613</v>
      </c>
      <c r="C376" s="15">
        <v>1</v>
      </c>
      <c r="D376" s="15" t="s">
        <v>4</v>
      </c>
      <c r="E376" s="20" t="s">
        <v>393</v>
      </c>
      <c r="F376" s="15">
        <v>4</v>
      </c>
      <c r="G376" s="15">
        <v>4</v>
      </c>
      <c r="H376" s="21">
        <v>4</v>
      </c>
      <c r="I376" s="15">
        <v>5</v>
      </c>
      <c r="J376" s="15">
        <v>5</v>
      </c>
      <c r="K376" s="21">
        <v>5</v>
      </c>
      <c r="L376" s="15">
        <v>2</v>
      </c>
      <c r="M376" s="15">
        <v>1</v>
      </c>
      <c r="N376" s="21">
        <v>3</v>
      </c>
      <c r="O376" s="15">
        <v>5</v>
      </c>
      <c r="P376" s="15">
        <v>4</v>
      </c>
      <c r="Q376" s="21">
        <v>5</v>
      </c>
      <c r="R376" s="15">
        <f t="shared" si="20"/>
        <v>4</v>
      </c>
      <c r="S376" s="15">
        <f t="shared" si="21"/>
        <v>5</v>
      </c>
      <c r="T376" s="15">
        <f t="shared" si="22"/>
        <v>2</v>
      </c>
      <c r="U376" s="15">
        <f t="shared" si="23"/>
        <v>4.666666666666667</v>
      </c>
    </row>
    <row r="377" spans="1:21" ht="54" x14ac:dyDescent="0.3">
      <c r="A377" s="15">
        <v>7520</v>
      </c>
      <c r="B377" s="15">
        <v>10926</v>
      </c>
      <c r="C377" s="15">
        <v>1</v>
      </c>
      <c r="D377" s="15" t="s">
        <v>231</v>
      </c>
      <c r="E377" s="20" t="s">
        <v>394</v>
      </c>
      <c r="F377" s="15">
        <v>4</v>
      </c>
      <c r="G377" s="15">
        <v>3</v>
      </c>
      <c r="H377" s="21">
        <v>3</v>
      </c>
      <c r="I377" s="15">
        <v>3</v>
      </c>
      <c r="J377" s="15">
        <v>3</v>
      </c>
      <c r="K377" s="21">
        <v>3</v>
      </c>
      <c r="L377" s="15">
        <v>2</v>
      </c>
      <c r="M377" s="15">
        <v>1</v>
      </c>
      <c r="N377" s="21">
        <v>3</v>
      </c>
      <c r="O377" s="15">
        <v>4</v>
      </c>
      <c r="P377" s="15">
        <v>3</v>
      </c>
      <c r="Q377" s="21">
        <v>3</v>
      </c>
      <c r="R377" s="15">
        <f t="shared" si="20"/>
        <v>3.3333333333333335</v>
      </c>
      <c r="S377" s="15">
        <f t="shared" si="21"/>
        <v>3</v>
      </c>
      <c r="T377" s="15">
        <f t="shared" si="22"/>
        <v>2</v>
      </c>
      <c r="U377" s="15">
        <f t="shared" si="23"/>
        <v>3.3333333333333335</v>
      </c>
    </row>
    <row r="378" spans="1:21" ht="108" x14ac:dyDescent="0.3">
      <c r="A378" s="15">
        <v>15618</v>
      </c>
      <c r="B378" s="15">
        <v>13453</v>
      </c>
      <c r="C378" s="15">
        <v>1</v>
      </c>
      <c r="D378" s="15" t="s">
        <v>11</v>
      </c>
      <c r="E378" s="20" t="s">
        <v>395</v>
      </c>
      <c r="F378" s="15">
        <v>4</v>
      </c>
      <c r="G378" s="15">
        <v>3</v>
      </c>
      <c r="H378" s="21">
        <v>4</v>
      </c>
      <c r="I378" s="15">
        <v>5</v>
      </c>
      <c r="J378" s="15">
        <v>5</v>
      </c>
      <c r="K378" s="21">
        <v>3</v>
      </c>
      <c r="L378" s="15">
        <v>2</v>
      </c>
      <c r="M378" s="15">
        <v>1</v>
      </c>
      <c r="N378" s="21">
        <v>3</v>
      </c>
      <c r="O378" s="15">
        <v>4</v>
      </c>
      <c r="P378" s="15">
        <v>3</v>
      </c>
      <c r="Q378" s="21">
        <v>4</v>
      </c>
      <c r="R378" s="15">
        <f t="shared" si="20"/>
        <v>3.6666666666666665</v>
      </c>
      <c r="S378" s="15">
        <f t="shared" si="21"/>
        <v>4.333333333333333</v>
      </c>
      <c r="T378" s="15">
        <f t="shared" si="22"/>
        <v>2</v>
      </c>
      <c r="U378" s="15">
        <f t="shared" si="23"/>
        <v>3.6666666666666665</v>
      </c>
    </row>
    <row r="379" spans="1:21" ht="40.5" x14ac:dyDescent="0.3">
      <c r="A379" s="15">
        <v>12453</v>
      </c>
      <c r="B379" s="15">
        <v>11875</v>
      </c>
      <c r="C379" s="15">
        <v>1</v>
      </c>
      <c r="D379" s="15" t="s">
        <v>4</v>
      </c>
      <c r="E379" s="20" t="s">
        <v>396</v>
      </c>
      <c r="F379" s="15">
        <v>4</v>
      </c>
      <c r="G379" s="15">
        <v>2</v>
      </c>
      <c r="H379" s="21">
        <v>3</v>
      </c>
      <c r="I379" s="15">
        <v>3</v>
      </c>
      <c r="J379" s="15">
        <v>3</v>
      </c>
      <c r="K379" s="21">
        <v>3</v>
      </c>
      <c r="L379" s="15">
        <v>3</v>
      </c>
      <c r="M379" s="15">
        <v>1</v>
      </c>
      <c r="N379" s="21">
        <v>2</v>
      </c>
      <c r="O379" s="15">
        <v>4</v>
      </c>
      <c r="P379" s="15">
        <v>2</v>
      </c>
      <c r="Q379" s="21">
        <v>3</v>
      </c>
      <c r="R379" s="15">
        <f t="shared" si="20"/>
        <v>3</v>
      </c>
      <c r="S379" s="15">
        <f t="shared" si="21"/>
        <v>3</v>
      </c>
      <c r="T379" s="15">
        <f t="shared" si="22"/>
        <v>2</v>
      </c>
      <c r="U379" s="15">
        <f t="shared" si="23"/>
        <v>3</v>
      </c>
    </row>
    <row r="380" spans="1:21" ht="40.5" x14ac:dyDescent="0.3">
      <c r="A380" s="15">
        <v>7243</v>
      </c>
      <c r="B380" s="15">
        <v>12456</v>
      </c>
      <c r="C380" s="15">
        <v>1</v>
      </c>
      <c r="D380" s="15" t="s">
        <v>4</v>
      </c>
      <c r="E380" s="20" t="s">
        <v>397</v>
      </c>
      <c r="F380" s="15">
        <v>3</v>
      </c>
      <c r="G380" s="15">
        <v>2</v>
      </c>
      <c r="H380" s="21">
        <v>3</v>
      </c>
      <c r="I380" s="15">
        <v>3</v>
      </c>
      <c r="J380" s="15">
        <v>3</v>
      </c>
      <c r="K380" s="21">
        <v>3</v>
      </c>
      <c r="L380" s="15">
        <v>2</v>
      </c>
      <c r="M380" s="15">
        <v>1</v>
      </c>
      <c r="N380" s="21">
        <v>1</v>
      </c>
      <c r="O380" s="15">
        <v>4</v>
      </c>
      <c r="P380" s="15">
        <v>2</v>
      </c>
      <c r="Q380" s="21">
        <v>3</v>
      </c>
      <c r="R380" s="15">
        <f t="shared" si="20"/>
        <v>2.6666666666666665</v>
      </c>
      <c r="S380" s="15">
        <f t="shared" si="21"/>
        <v>3</v>
      </c>
      <c r="T380" s="15">
        <f t="shared" si="22"/>
        <v>1.3333333333333333</v>
      </c>
      <c r="U380" s="15">
        <f t="shared" si="23"/>
        <v>3</v>
      </c>
    </row>
    <row r="381" spans="1:21" ht="40.5" x14ac:dyDescent="0.3">
      <c r="A381" s="15">
        <v>10461</v>
      </c>
      <c r="B381" s="15">
        <v>12122</v>
      </c>
      <c r="C381" s="15">
        <v>1</v>
      </c>
      <c r="D381" s="15" t="s">
        <v>4</v>
      </c>
      <c r="E381" s="20" t="s">
        <v>398</v>
      </c>
      <c r="F381" s="15">
        <v>3</v>
      </c>
      <c r="G381" s="15">
        <v>2</v>
      </c>
      <c r="H381" s="21">
        <v>3</v>
      </c>
      <c r="I381" s="15">
        <v>1</v>
      </c>
      <c r="J381" s="15">
        <v>1</v>
      </c>
      <c r="K381" s="21">
        <v>1</v>
      </c>
      <c r="L381" s="15">
        <v>2</v>
      </c>
      <c r="M381" s="15">
        <v>1</v>
      </c>
      <c r="N381" s="21">
        <v>3</v>
      </c>
      <c r="O381" s="15">
        <v>4</v>
      </c>
      <c r="P381" s="15">
        <v>2</v>
      </c>
      <c r="Q381" s="21">
        <v>4</v>
      </c>
      <c r="R381" s="15">
        <f t="shared" si="20"/>
        <v>2.6666666666666665</v>
      </c>
      <c r="S381" s="15">
        <f t="shared" si="21"/>
        <v>1</v>
      </c>
      <c r="T381" s="15">
        <f t="shared" si="22"/>
        <v>2</v>
      </c>
      <c r="U381" s="15">
        <f t="shared" si="23"/>
        <v>3.3333333333333335</v>
      </c>
    </row>
    <row r="382" spans="1:21" ht="81" x14ac:dyDescent="0.3">
      <c r="A382" s="15">
        <v>5219</v>
      </c>
      <c r="B382" s="15">
        <v>14883</v>
      </c>
      <c r="C382" s="15">
        <v>1</v>
      </c>
      <c r="D382" s="15" t="s">
        <v>4</v>
      </c>
      <c r="E382" s="20" t="s">
        <v>399</v>
      </c>
      <c r="F382" s="15">
        <v>4</v>
      </c>
      <c r="G382" s="15">
        <v>3</v>
      </c>
      <c r="H382" s="21">
        <v>5</v>
      </c>
      <c r="I382" s="15">
        <v>3</v>
      </c>
      <c r="J382" s="15">
        <v>3</v>
      </c>
      <c r="K382" s="21">
        <v>5</v>
      </c>
      <c r="L382" s="15">
        <v>2</v>
      </c>
      <c r="M382" s="15">
        <v>1</v>
      </c>
      <c r="N382" s="21">
        <v>3</v>
      </c>
      <c r="O382" s="15">
        <v>4</v>
      </c>
      <c r="P382" s="15">
        <v>3</v>
      </c>
      <c r="Q382" s="21">
        <v>5</v>
      </c>
      <c r="R382" s="15">
        <f t="shared" si="20"/>
        <v>4</v>
      </c>
      <c r="S382" s="15">
        <f t="shared" si="21"/>
        <v>3.6666666666666665</v>
      </c>
      <c r="T382" s="15">
        <f t="shared" si="22"/>
        <v>2</v>
      </c>
      <c r="U382" s="15">
        <f t="shared" si="23"/>
        <v>4</v>
      </c>
    </row>
    <row r="383" spans="1:21" ht="135" x14ac:dyDescent="0.3">
      <c r="A383" s="15">
        <v>15791</v>
      </c>
      <c r="B383" s="15">
        <v>14422</v>
      </c>
      <c r="C383" s="15">
        <v>1</v>
      </c>
      <c r="D383" s="15" t="s">
        <v>4</v>
      </c>
      <c r="E383" s="20" t="s">
        <v>400</v>
      </c>
      <c r="F383" s="15">
        <v>4</v>
      </c>
      <c r="G383" s="15">
        <v>4</v>
      </c>
      <c r="H383" s="21">
        <v>5</v>
      </c>
      <c r="I383" s="15">
        <v>5</v>
      </c>
      <c r="J383" s="15">
        <v>5</v>
      </c>
      <c r="K383" s="21">
        <v>5</v>
      </c>
      <c r="L383" s="15">
        <v>2</v>
      </c>
      <c r="M383" s="15">
        <v>1</v>
      </c>
      <c r="N383" s="21">
        <v>3</v>
      </c>
      <c r="O383" s="15">
        <v>4</v>
      </c>
      <c r="P383" s="15">
        <v>3</v>
      </c>
      <c r="Q383" s="21">
        <v>5</v>
      </c>
      <c r="R383" s="15">
        <f t="shared" si="20"/>
        <v>4.333333333333333</v>
      </c>
      <c r="S383" s="15">
        <f t="shared" si="21"/>
        <v>5</v>
      </c>
      <c r="T383" s="15">
        <f t="shared" si="22"/>
        <v>2</v>
      </c>
      <c r="U383" s="15">
        <f t="shared" si="23"/>
        <v>4</v>
      </c>
    </row>
    <row r="384" spans="1:21" ht="40.5" x14ac:dyDescent="0.3">
      <c r="A384" s="15">
        <v>12490</v>
      </c>
      <c r="B384" s="15">
        <v>14184</v>
      </c>
      <c r="C384" s="15">
        <v>1</v>
      </c>
      <c r="D384" s="15" t="s">
        <v>11</v>
      </c>
      <c r="E384" s="20" t="s">
        <v>401</v>
      </c>
      <c r="F384" s="15">
        <v>3</v>
      </c>
      <c r="G384" s="15">
        <v>2</v>
      </c>
      <c r="H384" s="21">
        <v>3</v>
      </c>
      <c r="I384" s="15">
        <v>3</v>
      </c>
      <c r="J384" s="15">
        <v>3</v>
      </c>
      <c r="K384" s="21">
        <v>3</v>
      </c>
      <c r="L384" s="15">
        <v>2</v>
      </c>
      <c r="M384" s="15">
        <v>1</v>
      </c>
      <c r="N384" s="21">
        <v>3</v>
      </c>
      <c r="O384" s="15">
        <v>4</v>
      </c>
      <c r="P384" s="15">
        <v>2</v>
      </c>
      <c r="Q384" s="21">
        <v>3</v>
      </c>
      <c r="R384" s="15">
        <f t="shared" si="20"/>
        <v>2.6666666666666665</v>
      </c>
      <c r="S384" s="15">
        <f t="shared" si="21"/>
        <v>3</v>
      </c>
      <c r="T384" s="15">
        <f t="shared" si="22"/>
        <v>2</v>
      </c>
      <c r="U384" s="15">
        <f t="shared" si="23"/>
        <v>3</v>
      </c>
    </row>
    <row r="385" spans="1:21" ht="27" x14ac:dyDescent="0.3">
      <c r="A385" s="15">
        <v>12964</v>
      </c>
      <c r="B385" s="15">
        <v>12712</v>
      </c>
      <c r="C385" s="15">
        <v>1</v>
      </c>
      <c r="D385" s="15" t="s">
        <v>40</v>
      </c>
      <c r="E385" s="20" t="s">
        <v>402</v>
      </c>
      <c r="F385" s="15">
        <v>4</v>
      </c>
      <c r="G385" s="15">
        <v>2</v>
      </c>
      <c r="H385" s="21">
        <v>3</v>
      </c>
      <c r="I385" s="15">
        <v>3</v>
      </c>
      <c r="J385" s="15">
        <v>3</v>
      </c>
      <c r="K385" s="21">
        <v>3</v>
      </c>
      <c r="L385" s="15">
        <v>2</v>
      </c>
      <c r="M385" s="15">
        <v>1</v>
      </c>
      <c r="N385" s="21">
        <v>1</v>
      </c>
      <c r="O385" s="15">
        <v>4</v>
      </c>
      <c r="P385" s="15">
        <v>2</v>
      </c>
      <c r="Q385" s="21">
        <v>3</v>
      </c>
      <c r="R385" s="15">
        <f t="shared" si="20"/>
        <v>3</v>
      </c>
      <c r="S385" s="15">
        <f t="shared" si="21"/>
        <v>3</v>
      </c>
      <c r="T385" s="15">
        <f t="shared" si="22"/>
        <v>1.3333333333333333</v>
      </c>
      <c r="U385" s="15">
        <f t="shared" si="23"/>
        <v>3</v>
      </c>
    </row>
    <row r="386" spans="1:21" ht="40.5" x14ac:dyDescent="0.3">
      <c r="A386" s="15">
        <v>8684</v>
      </c>
      <c r="B386" s="15">
        <v>10388</v>
      </c>
      <c r="C386" s="15">
        <v>1</v>
      </c>
      <c r="D386" s="15" t="s">
        <v>4</v>
      </c>
      <c r="E386" s="20" t="s">
        <v>403</v>
      </c>
      <c r="F386" s="15">
        <v>3</v>
      </c>
      <c r="G386" s="15">
        <v>2</v>
      </c>
      <c r="H386" s="21">
        <v>3</v>
      </c>
      <c r="I386" s="15">
        <v>4</v>
      </c>
      <c r="J386" s="15">
        <v>3</v>
      </c>
      <c r="K386" s="21">
        <v>3</v>
      </c>
      <c r="L386" s="15">
        <v>2</v>
      </c>
      <c r="M386" s="15">
        <v>1</v>
      </c>
      <c r="N386" s="21">
        <v>1</v>
      </c>
      <c r="O386" s="15">
        <v>4</v>
      </c>
      <c r="P386" s="15">
        <v>2</v>
      </c>
      <c r="Q386" s="21">
        <v>3</v>
      </c>
      <c r="R386" s="15">
        <f t="shared" si="20"/>
        <v>2.6666666666666665</v>
      </c>
      <c r="S386" s="15">
        <f t="shared" si="21"/>
        <v>3.3333333333333335</v>
      </c>
      <c r="T386" s="15">
        <f t="shared" si="22"/>
        <v>1.3333333333333333</v>
      </c>
      <c r="U386" s="15">
        <f t="shared" si="23"/>
        <v>3</v>
      </c>
    </row>
    <row r="387" spans="1:21" ht="40.5" x14ac:dyDescent="0.3">
      <c r="A387" s="15">
        <v>13232</v>
      </c>
      <c r="B387" s="15">
        <v>14724</v>
      </c>
      <c r="C387" s="15">
        <v>1</v>
      </c>
      <c r="D387" s="15" t="s">
        <v>4</v>
      </c>
      <c r="E387" s="20" t="s">
        <v>404</v>
      </c>
      <c r="F387" s="15">
        <v>3</v>
      </c>
      <c r="G387" s="15">
        <v>2</v>
      </c>
      <c r="H387" s="21">
        <v>3</v>
      </c>
      <c r="I387" s="15">
        <v>3</v>
      </c>
      <c r="J387" s="15">
        <v>3</v>
      </c>
      <c r="K387" s="21">
        <v>3</v>
      </c>
      <c r="L387" s="15">
        <v>2</v>
      </c>
      <c r="M387" s="15">
        <v>1</v>
      </c>
      <c r="N387" s="21">
        <v>1</v>
      </c>
      <c r="O387" s="15">
        <v>4</v>
      </c>
      <c r="P387" s="15">
        <v>2</v>
      </c>
      <c r="Q387" s="21">
        <v>3</v>
      </c>
      <c r="R387" s="15">
        <f t="shared" ref="R387:R450" si="24">AVERAGE(F387:H387)</f>
        <v>2.6666666666666665</v>
      </c>
      <c r="S387" s="15">
        <f t="shared" ref="S387:S450" si="25">AVERAGE(I387:K387)</f>
        <v>3</v>
      </c>
      <c r="T387" s="15">
        <f t="shared" ref="T387:T450" si="26">AVERAGE(L387:N387)</f>
        <v>1.3333333333333333</v>
      </c>
      <c r="U387" s="15">
        <f t="shared" ref="U387:U450" si="27">AVERAGE(O387:Q387)</f>
        <v>3</v>
      </c>
    </row>
    <row r="388" spans="1:21" ht="40.5" x14ac:dyDescent="0.3">
      <c r="A388" s="15">
        <v>4983</v>
      </c>
      <c r="B388" s="15">
        <v>15169</v>
      </c>
      <c r="C388" s="15">
        <v>1</v>
      </c>
      <c r="D388" s="15" t="s">
        <v>4</v>
      </c>
      <c r="E388" s="20" t="s">
        <v>405</v>
      </c>
      <c r="F388" s="15">
        <v>4</v>
      </c>
      <c r="G388" s="15">
        <v>2</v>
      </c>
      <c r="H388" s="21">
        <v>3</v>
      </c>
      <c r="I388" s="15">
        <v>3</v>
      </c>
      <c r="J388" s="15">
        <v>3</v>
      </c>
      <c r="K388" s="21">
        <v>3</v>
      </c>
      <c r="L388" s="15">
        <v>2</v>
      </c>
      <c r="M388" s="15">
        <v>1</v>
      </c>
      <c r="N388" s="21">
        <v>1</v>
      </c>
      <c r="O388" s="15">
        <v>4</v>
      </c>
      <c r="P388" s="15">
        <v>2</v>
      </c>
      <c r="Q388" s="21">
        <v>3</v>
      </c>
      <c r="R388" s="15">
        <f t="shared" si="24"/>
        <v>3</v>
      </c>
      <c r="S388" s="15">
        <f t="shared" si="25"/>
        <v>3</v>
      </c>
      <c r="T388" s="15">
        <f t="shared" si="26"/>
        <v>1.3333333333333333</v>
      </c>
      <c r="U388" s="15">
        <f t="shared" si="27"/>
        <v>3</v>
      </c>
    </row>
    <row r="389" spans="1:21" ht="81" x14ac:dyDescent="0.3">
      <c r="A389" s="15">
        <v>15821</v>
      </c>
      <c r="B389" s="15">
        <v>14586</v>
      </c>
      <c r="C389" s="15">
        <v>1</v>
      </c>
      <c r="D389" s="15" t="s">
        <v>4</v>
      </c>
      <c r="E389" s="20" t="s">
        <v>406</v>
      </c>
      <c r="F389" s="15">
        <v>3</v>
      </c>
      <c r="G389" s="15">
        <v>3</v>
      </c>
      <c r="H389" s="21">
        <v>4</v>
      </c>
      <c r="I389" s="15">
        <v>3</v>
      </c>
      <c r="J389" s="15">
        <v>3</v>
      </c>
      <c r="K389" s="21">
        <v>5</v>
      </c>
      <c r="L389" s="15">
        <v>2</v>
      </c>
      <c r="M389" s="15">
        <v>1</v>
      </c>
      <c r="N389" s="21">
        <v>4</v>
      </c>
      <c r="O389" s="15">
        <v>4</v>
      </c>
      <c r="P389" s="15">
        <v>3</v>
      </c>
      <c r="Q389" s="21">
        <v>5</v>
      </c>
      <c r="R389" s="15">
        <f t="shared" si="24"/>
        <v>3.3333333333333335</v>
      </c>
      <c r="S389" s="15">
        <f t="shared" si="25"/>
        <v>3.6666666666666665</v>
      </c>
      <c r="T389" s="15">
        <f t="shared" si="26"/>
        <v>2.3333333333333335</v>
      </c>
      <c r="U389" s="15">
        <f t="shared" si="27"/>
        <v>4</v>
      </c>
    </row>
    <row r="390" spans="1:21" ht="81" x14ac:dyDescent="0.3">
      <c r="A390" s="15">
        <v>17031</v>
      </c>
      <c r="B390" s="15">
        <v>13431</v>
      </c>
      <c r="C390" s="15">
        <v>1</v>
      </c>
      <c r="D390" s="15" t="s">
        <v>11</v>
      </c>
      <c r="E390" s="20" t="s">
        <v>407</v>
      </c>
      <c r="F390" s="15">
        <v>4</v>
      </c>
      <c r="G390" s="15">
        <v>4</v>
      </c>
      <c r="H390" s="21">
        <v>4</v>
      </c>
      <c r="I390" s="15">
        <v>4</v>
      </c>
      <c r="J390" s="15">
        <v>1</v>
      </c>
      <c r="K390" s="21">
        <v>5</v>
      </c>
      <c r="L390" s="15">
        <v>2</v>
      </c>
      <c r="M390" s="15">
        <v>1</v>
      </c>
      <c r="N390" s="21">
        <v>3</v>
      </c>
      <c r="O390" s="15">
        <v>4</v>
      </c>
      <c r="P390" s="15">
        <v>4</v>
      </c>
      <c r="Q390" s="21">
        <v>4</v>
      </c>
      <c r="R390" s="15">
        <f t="shared" si="24"/>
        <v>4</v>
      </c>
      <c r="S390" s="15">
        <f t="shared" si="25"/>
        <v>3.3333333333333335</v>
      </c>
      <c r="T390" s="15">
        <f t="shared" si="26"/>
        <v>2</v>
      </c>
      <c r="U390" s="15">
        <f t="shared" si="27"/>
        <v>4</v>
      </c>
    </row>
    <row r="391" spans="1:21" ht="54" x14ac:dyDescent="0.3">
      <c r="A391" s="15">
        <v>15708</v>
      </c>
      <c r="B391" s="15">
        <v>10898</v>
      </c>
      <c r="C391" s="15">
        <v>1</v>
      </c>
      <c r="D391" s="15" t="s">
        <v>13</v>
      </c>
      <c r="E391" s="20" t="s">
        <v>408</v>
      </c>
      <c r="F391" s="15">
        <v>3</v>
      </c>
      <c r="G391" s="15">
        <v>4</v>
      </c>
      <c r="H391" s="21">
        <v>3</v>
      </c>
      <c r="I391" s="15">
        <v>3</v>
      </c>
      <c r="J391" s="15">
        <v>3</v>
      </c>
      <c r="K391" s="21">
        <v>3</v>
      </c>
      <c r="L391" s="15">
        <v>2</v>
      </c>
      <c r="M391" s="15">
        <v>1</v>
      </c>
      <c r="N391" s="21">
        <v>3</v>
      </c>
      <c r="O391" s="15">
        <v>4</v>
      </c>
      <c r="P391" s="15">
        <v>3</v>
      </c>
      <c r="Q391" s="21">
        <v>4</v>
      </c>
      <c r="R391" s="15">
        <f t="shared" si="24"/>
        <v>3.3333333333333335</v>
      </c>
      <c r="S391" s="15">
        <f t="shared" si="25"/>
        <v>3</v>
      </c>
      <c r="T391" s="15">
        <f t="shared" si="26"/>
        <v>2</v>
      </c>
      <c r="U391" s="15">
        <f t="shared" si="27"/>
        <v>3.6666666666666665</v>
      </c>
    </row>
    <row r="392" spans="1:21" ht="54" x14ac:dyDescent="0.3">
      <c r="A392" s="15">
        <v>14536</v>
      </c>
      <c r="B392" s="15">
        <v>13822</v>
      </c>
      <c r="C392" s="15">
        <v>1</v>
      </c>
      <c r="D392" s="15" t="s">
        <v>11</v>
      </c>
      <c r="E392" s="20" t="s">
        <v>409</v>
      </c>
      <c r="F392" s="15">
        <v>4</v>
      </c>
      <c r="G392" s="15">
        <v>2</v>
      </c>
      <c r="H392" s="21">
        <v>3</v>
      </c>
      <c r="I392" s="15">
        <v>3</v>
      </c>
      <c r="J392" s="15">
        <v>3</v>
      </c>
      <c r="K392" s="21">
        <v>3</v>
      </c>
      <c r="L392" s="15">
        <v>2</v>
      </c>
      <c r="M392" s="15">
        <v>1</v>
      </c>
      <c r="N392" s="21">
        <v>2</v>
      </c>
      <c r="O392" s="15">
        <v>4</v>
      </c>
      <c r="P392" s="15">
        <v>3</v>
      </c>
      <c r="Q392" s="21">
        <v>3</v>
      </c>
      <c r="R392" s="15">
        <f t="shared" si="24"/>
        <v>3</v>
      </c>
      <c r="S392" s="15">
        <f t="shared" si="25"/>
        <v>3</v>
      </c>
      <c r="T392" s="15">
        <f t="shared" si="26"/>
        <v>1.6666666666666667</v>
      </c>
      <c r="U392" s="15">
        <f t="shared" si="27"/>
        <v>3.3333333333333335</v>
      </c>
    </row>
    <row r="393" spans="1:21" ht="40.5" x14ac:dyDescent="0.3">
      <c r="A393" s="15">
        <v>4540</v>
      </c>
      <c r="B393" s="15">
        <v>12850</v>
      </c>
      <c r="C393" s="15">
        <v>1</v>
      </c>
      <c r="D393" s="15" t="s">
        <v>40</v>
      </c>
      <c r="E393" s="20" t="s">
        <v>410</v>
      </c>
      <c r="F393" s="15">
        <v>3</v>
      </c>
      <c r="G393" s="15">
        <v>2</v>
      </c>
      <c r="H393" s="21">
        <v>3</v>
      </c>
      <c r="I393" s="15">
        <v>3</v>
      </c>
      <c r="J393" s="15">
        <v>3</v>
      </c>
      <c r="K393" s="21">
        <v>3</v>
      </c>
      <c r="L393" s="15">
        <v>2</v>
      </c>
      <c r="M393" s="15">
        <v>1</v>
      </c>
      <c r="N393" s="21">
        <v>1</v>
      </c>
      <c r="O393" s="15">
        <v>4</v>
      </c>
      <c r="P393" s="15">
        <v>2</v>
      </c>
      <c r="Q393" s="21">
        <v>3</v>
      </c>
      <c r="R393" s="15">
        <f t="shared" si="24"/>
        <v>2.6666666666666665</v>
      </c>
      <c r="S393" s="15">
        <f t="shared" si="25"/>
        <v>3</v>
      </c>
      <c r="T393" s="15">
        <f t="shared" si="26"/>
        <v>1.3333333333333333</v>
      </c>
      <c r="U393" s="15">
        <f t="shared" si="27"/>
        <v>3</v>
      </c>
    </row>
    <row r="394" spans="1:21" ht="40.5" x14ac:dyDescent="0.3">
      <c r="A394" s="15">
        <v>2578</v>
      </c>
      <c r="B394" s="15">
        <v>13958</v>
      </c>
      <c r="C394" s="15">
        <v>1</v>
      </c>
      <c r="D394" s="15" t="s">
        <v>11</v>
      </c>
      <c r="E394" s="20" t="s">
        <v>411</v>
      </c>
      <c r="F394" s="15">
        <v>3</v>
      </c>
      <c r="G394" s="15">
        <v>2</v>
      </c>
      <c r="H394" s="21">
        <v>3</v>
      </c>
      <c r="I394" s="15">
        <v>3</v>
      </c>
      <c r="J394" s="15">
        <v>3</v>
      </c>
      <c r="K394" s="21">
        <v>3</v>
      </c>
      <c r="L394" s="15">
        <v>2</v>
      </c>
      <c r="M394" s="15">
        <v>1</v>
      </c>
      <c r="N394" s="21">
        <v>2</v>
      </c>
      <c r="O394" s="15">
        <v>4</v>
      </c>
      <c r="P394" s="15">
        <v>3</v>
      </c>
      <c r="Q394" s="21">
        <v>3</v>
      </c>
      <c r="R394" s="15">
        <f t="shared" si="24"/>
        <v>2.6666666666666665</v>
      </c>
      <c r="S394" s="15">
        <f t="shared" si="25"/>
        <v>3</v>
      </c>
      <c r="T394" s="15">
        <f t="shared" si="26"/>
        <v>1.6666666666666667</v>
      </c>
      <c r="U394" s="15">
        <f t="shared" si="27"/>
        <v>3.3333333333333335</v>
      </c>
    </row>
    <row r="395" spans="1:21" ht="27" x14ac:dyDescent="0.3">
      <c r="A395" s="15">
        <v>344</v>
      </c>
      <c r="B395" s="15">
        <v>10366</v>
      </c>
      <c r="C395" s="15">
        <v>1</v>
      </c>
      <c r="D395" s="15" t="s">
        <v>4</v>
      </c>
      <c r="E395" s="20" t="s">
        <v>412</v>
      </c>
      <c r="F395" s="15">
        <v>3</v>
      </c>
      <c r="G395" s="15">
        <v>2</v>
      </c>
      <c r="H395" s="21">
        <v>3</v>
      </c>
      <c r="I395" s="15">
        <v>3</v>
      </c>
      <c r="J395" s="15">
        <v>3</v>
      </c>
      <c r="K395" s="21">
        <v>3</v>
      </c>
      <c r="L395" s="15">
        <v>2</v>
      </c>
      <c r="M395" s="15">
        <v>1</v>
      </c>
      <c r="N395" s="21">
        <v>1</v>
      </c>
      <c r="O395" s="15">
        <v>3</v>
      </c>
      <c r="P395" s="15">
        <v>3</v>
      </c>
      <c r="Q395" s="21">
        <v>3</v>
      </c>
      <c r="R395" s="15">
        <f t="shared" si="24"/>
        <v>2.6666666666666665</v>
      </c>
      <c r="S395" s="15">
        <f t="shared" si="25"/>
        <v>3</v>
      </c>
      <c r="T395" s="15">
        <f t="shared" si="26"/>
        <v>1.3333333333333333</v>
      </c>
      <c r="U395" s="15">
        <f t="shared" si="27"/>
        <v>3</v>
      </c>
    </row>
    <row r="396" spans="1:21" ht="54" x14ac:dyDescent="0.3">
      <c r="A396" s="15">
        <v>9881</v>
      </c>
      <c r="B396" s="15">
        <v>13938</v>
      </c>
      <c r="C396" s="15">
        <v>1</v>
      </c>
      <c r="D396" s="15" t="s">
        <v>11</v>
      </c>
      <c r="E396" s="20" t="s">
        <v>413</v>
      </c>
      <c r="F396" s="15">
        <v>3</v>
      </c>
      <c r="G396" s="15">
        <v>3</v>
      </c>
      <c r="H396" s="21">
        <v>3</v>
      </c>
      <c r="I396" s="15">
        <v>3</v>
      </c>
      <c r="J396" s="15">
        <v>1</v>
      </c>
      <c r="K396" s="21">
        <v>3</v>
      </c>
      <c r="L396" s="15">
        <v>2</v>
      </c>
      <c r="M396" s="15">
        <v>1</v>
      </c>
      <c r="N396" s="21">
        <v>1</v>
      </c>
      <c r="O396" s="15">
        <v>4</v>
      </c>
      <c r="P396" s="15">
        <v>3</v>
      </c>
      <c r="Q396" s="21">
        <v>3</v>
      </c>
      <c r="R396" s="15">
        <f t="shared" si="24"/>
        <v>3</v>
      </c>
      <c r="S396" s="15">
        <f t="shared" si="25"/>
        <v>2.3333333333333335</v>
      </c>
      <c r="T396" s="15">
        <f t="shared" si="26"/>
        <v>1.3333333333333333</v>
      </c>
      <c r="U396" s="15">
        <f t="shared" si="27"/>
        <v>3.3333333333333335</v>
      </c>
    </row>
    <row r="397" spans="1:21" ht="54" x14ac:dyDescent="0.3">
      <c r="A397" s="15">
        <v>4963</v>
      </c>
      <c r="B397" s="15">
        <v>12517</v>
      </c>
      <c r="C397" s="15">
        <v>1</v>
      </c>
      <c r="D397" s="15" t="s">
        <v>4</v>
      </c>
      <c r="E397" s="20" t="s">
        <v>414</v>
      </c>
      <c r="F397" s="15">
        <v>3</v>
      </c>
      <c r="G397" s="15">
        <v>3</v>
      </c>
      <c r="H397" s="21">
        <v>5</v>
      </c>
      <c r="I397" s="15">
        <v>3</v>
      </c>
      <c r="J397" s="15">
        <v>3</v>
      </c>
      <c r="K397" s="21">
        <v>3</v>
      </c>
      <c r="L397" s="15">
        <v>2</v>
      </c>
      <c r="M397" s="15">
        <v>2</v>
      </c>
      <c r="N397" s="21">
        <v>3</v>
      </c>
      <c r="O397" s="15">
        <v>4</v>
      </c>
      <c r="P397" s="15">
        <v>3</v>
      </c>
      <c r="Q397" s="21">
        <v>5</v>
      </c>
      <c r="R397" s="15">
        <f t="shared" si="24"/>
        <v>3.6666666666666665</v>
      </c>
      <c r="S397" s="15">
        <f t="shared" si="25"/>
        <v>3</v>
      </c>
      <c r="T397" s="15">
        <f t="shared" si="26"/>
        <v>2.3333333333333335</v>
      </c>
      <c r="U397" s="15">
        <f t="shared" si="27"/>
        <v>4</v>
      </c>
    </row>
    <row r="398" spans="1:21" ht="40.5" x14ac:dyDescent="0.3">
      <c r="A398" s="15">
        <v>7246</v>
      </c>
      <c r="B398" s="15">
        <v>11017</v>
      </c>
      <c r="C398" s="15">
        <v>1</v>
      </c>
      <c r="D398" s="15" t="s">
        <v>4</v>
      </c>
      <c r="E398" s="20" t="s">
        <v>415</v>
      </c>
      <c r="F398" s="15">
        <v>4</v>
      </c>
      <c r="G398" s="15">
        <v>2</v>
      </c>
      <c r="H398" s="21">
        <v>3</v>
      </c>
      <c r="I398" s="15">
        <v>3</v>
      </c>
      <c r="J398" s="15">
        <v>3</v>
      </c>
      <c r="K398" s="21">
        <v>3</v>
      </c>
      <c r="L398" s="15">
        <v>2</v>
      </c>
      <c r="M398" s="15">
        <v>2</v>
      </c>
      <c r="N398" s="21">
        <v>3</v>
      </c>
      <c r="O398" s="15">
        <v>4</v>
      </c>
      <c r="P398" s="15">
        <v>3</v>
      </c>
      <c r="Q398" s="21">
        <v>3</v>
      </c>
      <c r="R398" s="15">
        <f t="shared" si="24"/>
        <v>3</v>
      </c>
      <c r="S398" s="15">
        <f t="shared" si="25"/>
        <v>3</v>
      </c>
      <c r="T398" s="15">
        <f t="shared" si="26"/>
        <v>2.3333333333333335</v>
      </c>
      <c r="U398" s="15">
        <f t="shared" si="27"/>
        <v>3.3333333333333335</v>
      </c>
    </row>
    <row r="399" spans="1:21" ht="54" x14ac:dyDescent="0.3">
      <c r="A399" s="15">
        <v>15071</v>
      </c>
      <c r="B399" s="15">
        <v>13227</v>
      </c>
      <c r="C399" s="15">
        <v>1</v>
      </c>
      <c r="D399" s="15" t="s">
        <v>11</v>
      </c>
      <c r="E399" s="20" t="s">
        <v>416</v>
      </c>
      <c r="F399" s="15">
        <v>4</v>
      </c>
      <c r="G399" s="15">
        <v>3</v>
      </c>
      <c r="H399" s="21">
        <v>3</v>
      </c>
      <c r="I399" s="15">
        <v>3</v>
      </c>
      <c r="J399" s="15">
        <v>3</v>
      </c>
      <c r="K399" s="21">
        <v>3</v>
      </c>
      <c r="L399" s="15">
        <v>2</v>
      </c>
      <c r="M399" s="15">
        <v>1</v>
      </c>
      <c r="N399" s="21">
        <v>2</v>
      </c>
      <c r="O399" s="15">
        <v>3</v>
      </c>
      <c r="P399" s="15">
        <v>3</v>
      </c>
      <c r="Q399" s="21">
        <v>3</v>
      </c>
      <c r="R399" s="15">
        <f t="shared" si="24"/>
        <v>3.3333333333333335</v>
      </c>
      <c r="S399" s="15">
        <f t="shared" si="25"/>
        <v>3</v>
      </c>
      <c r="T399" s="15">
        <f t="shared" si="26"/>
        <v>1.6666666666666667</v>
      </c>
      <c r="U399" s="15">
        <f t="shared" si="27"/>
        <v>3</v>
      </c>
    </row>
    <row r="400" spans="1:21" ht="54" x14ac:dyDescent="0.3">
      <c r="A400" s="15">
        <v>12891</v>
      </c>
      <c r="B400" s="15">
        <v>12134</v>
      </c>
      <c r="C400" s="15">
        <v>1</v>
      </c>
      <c r="D400" s="15" t="s">
        <v>13</v>
      </c>
      <c r="E400" s="20" t="s">
        <v>417</v>
      </c>
      <c r="F400" s="15">
        <v>3</v>
      </c>
      <c r="G400" s="15">
        <v>3</v>
      </c>
      <c r="H400" s="21">
        <v>3</v>
      </c>
      <c r="I400" s="15">
        <v>3</v>
      </c>
      <c r="J400" s="15">
        <v>3</v>
      </c>
      <c r="K400" s="21">
        <v>3</v>
      </c>
      <c r="L400" s="15">
        <v>2</v>
      </c>
      <c r="M400" s="15">
        <v>3</v>
      </c>
      <c r="N400" s="21">
        <v>2</v>
      </c>
      <c r="O400" s="15">
        <v>4</v>
      </c>
      <c r="P400" s="15">
        <v>2</v>
      </c>
      <c r="Q400" s="21">
        <v>3</v>
      </c>
      <c r="R400" s="15">
        <f t="shared" si="24"/>
        <v>3</v>
      </c>
      <c r="S400" s="15">
        <f t="shared" si="25"/>
        <v>3</v>
      </c>
      <c r="T400" s="15">
        <f t="shared" si="26"/>
        <v>2.3333333333333335</v>
      </c>
      <c r="U400" s="15">
        <f t="shared" si="27"/>
        <v>3</v>
      </c>
    </row>
    <row r="401" spans="1:21" ht="54" x14ac:dyDescent="0.3">
      <c r="A401" s="15">
        <v>3221</v>
      </c>
      <c r="B401" s="15">
        <v>11484</v>
      </c>
      <c r="C401" s="15">
        <v>1</v>
      </c>
      <c r="D401" s="15" t="s">
        <v>4</v>
      </c>
      <c r="E401" s="20" t="s">
        <v>418</v>
      </c>
      <c r="F401" s="15">
        <v>4</v>
      </c>
      <c r="G401" s="15">
        <v>3</v>
      </c>
      <c r="H401" s="21">
        <v>4</v>
      </c>
      <c r="I401" s="15">
        <v>3</v>
      </c>
      <c r="J401" s="15">
        <v>3</v>
      </c>
      <c r="K401" s="21">
        <v>3</v>
      </c>
      <c r="L401" s="15">
        <v>2</v>
      </c>
      <c r="M401" s="15">
        <v>3</v>
      </c>
      <c r="N401" s="21">
        <v>3</v>
      </c>
      <c r="O401" s="15">
        <v>4</v>
      </c>
      <c r="P401" s="15">
        <v>2</v>
      </c>
      <c r="Q401" s="21">
        <v>4</v>
      </c>
      <c r="R401" s="15">
        <f t="shared" si="24"/>
        <v>3.6666666666666665</v>
      </c>
      <c r="S401" s="15">
        <f t="shared" si="25"/>
        <v>3</v>
      </c>
      <c r="T401" s="15">
        <f t="shared" si="26"/>
        <v>2.6666666666666665</v>
      </c>
      <c r="U401" s="15">
        <f t="shared" si="27"/>
        <v>3.3333333333333335</v>
      </c>
    </row>
    <row r="402" spans="1:21" ht="67.5" x14ac:dyDescent="0.3">
      <c r="A402" s="15">
        <v>6897</v>
      </c>
      <c r="B402" s="15">
        <v>14053</v>
      </c>
      <c r="C402" s="15">
        <v>1</v>
      </c>
      <c r="D402" s="15" t="s">
        <v>11</v>
      </c>
      <c r="E402" s="20" t="s">
        <v>419</v>
      </c>
      <c r="F402" s="15">
        <v>4</v>
      </c>
      <c r="G402" s="15">
        <v>3</v>
      </c>
      <c r="H402" s="21">
        <v>4</v>
      </c>
      <c r="I402" s="15">
        <v>3</v>
      </c>
      <c r="J402" s="15">
        <v>3</v>
      </c>
      <c r="K402" s="21">
        <v>3</v>
      </c>
      <c r="L402" s="15">
        <v>2</v>
      </c>
      <c r="M402" s="15">
        <v>1</v>
      </c>
      <c r="N402" s="21">
        <v>3</v>
      </c>
      <c r="O402" s="15">
        <v>3</v>
      </c>
      <c r="P402" s="15">
        <v>3</v>
      </c>
      <c r="Q402" s="21">
        <v>4</v>
      </c>
      <c r="R402" s="15">
        <f t="shared" si="24"/>
        <v>3.6666666666666665</v>
      </c>
      <c r="S402" s="15">
        <f t="shared" si="25"/>
        <v>3</v>
      </c>
      <c r="T402" s="15">
        <f t="shared" si="26"/>
        <v>2</v>
      </c>
      <c r="U402" s="15">
        <f t="shared" si="27"/>
        <v>3.3333333333333335</v>
      </c>
    </row>
    <row r="403" spans="1:21" ht="54" x14ac:dyDescent="0.3">
      <c r="A403" s="15">
        <v>8699</v>
      </c>
      <c r="B403" s="15">
        <v>11362</v>
      </c>
      <c r="C403" s="15">
        <v>1</v>
      </c>
      <c r="D403" s="15" t="s">
        <v>4</v>
      </c>
      <c r="E403" s="20" t="s">
        <v>420</v>
      </c>
      <c r="F403" s="15">
        <v>4</v>
      </c>
      <c r="G403" s="15">
        <v>3</v>
      </c>
      <c r="H403" s="21">
        <v>3</v>
      </c>
      <c r="I403" s="15">
        <v>3</v>
      </c>
      <c r="J403" s="15">
        <v>3</v>
      </c>
      <c r="K403" s="21">
        <v>3</v>
      </c>
      <c r="L403" s="15">
        <v>2</v>
      </c>
      <c r="M403" s="15">
        <v>1</v>
      </c>
      <c r="N403" s="21">
        <v>2</v>
      </c>
      <c r="O403" s="15">
        <v>4</v>
      </c>
      <c r="P403" s="15">
        <v>3</v>
      </c>
      <c r="Q403" s="21">
        <v>3</v>
      </c>
      <c r="R403" s="15">
        <f t="shared" si="24"/>
        <v>3.3333333333333335</v>
      </c>
      <c r="S403" s="15">
        <f t="shared" si="25"/>
        <v>3</v>
      </c>
      <c r="T403" s="15">
        <f t="shared" si="26"/>
        <v>1.6666666666666667</v>
      </c>
      <c r="U403" s="15">
        <f t="shared" si="27"/>
        <v>3.3333333333333335</v>
      </c>
    </row>
    <row r="404" spans="1:21" ht="54" x14ac:dyDescent="0.3">
      <c r="A404" s="15">
        <v>2670</v>
      </c>
      <c r="B404" s="15">
        <v>13842</v>
      </c>
      <c r="C404" s="15">
        <v>1</v>
      </c>
      <c r="D404" s="15" t="s">
        <v>11</v>
      </c>
      <c r="E404" s="20" t="s">
        <v>421</v>
      </c>
      <c r="F404" s="15">
        <v>4</v>
      </c>
      <c r="G404" s="15">
        <v>3</v>
      </c>
      <c r="H404" s="21">
        <v>3</v>
      </c>
      <c r="I404" s="15">
        <v>3</v>
      </c>
      <c r="J404" s="15">
        <v>3</v>
      </c>
      <c r="K404" s="21">
        <v>3</v>
      </c>
      <c r="L404" s="15">
        <v>2</v>
      </c>
      <c r="M404" s="15">
        <v>2</v>
      </c>
      <c r="N404" s="21">
        <v>2</v>
      </c>
      <c r="O404" s="15">
        <v>3</v>
      </c>
      <c r="P404" s="15">
        <v>3</v>
      </c>
      <c r="Q404" s="21">
        <v>3</v>
      </c>
      <c r="R404" s="15">
        <f t="shared" si="24"/>
        <v>3.3333333333333335</v>
      </c>
      <c r="S404" s="15">
        <f t="shared" si="25"/>
        <v>3</v>
      </c>
      <c r="T404" s="15">
        <f t="shared" si="26"/>
        <v>2</v>
      </c>
      <c r="U404" s="15">
        <f t="shared" si="27"/>
        <v>3</v>
      </c>
    </row>
    <row r="405" spans="1:21" ht="40.5" x14ac:dyDescent="0.3">
      <c r="A405" s="15">
        <v>9248</v>
      </c>
      <c r="B405" s="15">
        <v>11760</v>
      </c>
      <c r="C405" s="15">
        <v>1</v>
      </c>
      <c r="D405" s="15" t="s">
        <v>4</v>
      </c>
      <c r="E405" s="20" t="s">
        <v>422</v>
      </c>
      <c r="F405" s="15">
        <v>4</v>
      </c>
      <c r="G405" s="15">
        <v>3</v>
      </c>
      <c r="H405" s="21">
        <v>3</v>
      </c>
      <c r="I405" s="15">
        <v>1</v>
      </c>
      <c r="J405" s="15">
        <v>1</v>
      </c>
      <c r="K405" s="21">
        <v>1</v>
      </c>
      <c r="L405" s="15">
        <v>2</v>
      </c>
      <c r="M405" s="15">
        <v>1</v>
      </c>
      <c r="N405" s="21">
        <v>3</v>
      </c>
      <c r="O405" s="15">
        <v>4</v>
      </c>
      <c r="P405" s="15">
        <v>3</v>
      </c>
      <c r="Q405" s="21">
        <v>3</v>
      </c>
      <c r="R405" s="15">
        <f t="shared" si="24"/>
        <v>3.3333333333333335</v>
      </c>
      <c r="S405" s="15">
        <f t="shared" si="25"/>
        <v>1</v>
      </c>
      <c r="T405" s="15">
        <f t="shared" si="26"/>
        <v>2</v>
      </c>
      <c r="U405" s="15">
        <f t="shared" si="27"/>
        <v>3.3333333333333335</v>
      </c>
    </row>
    <row r="406" spans="1:21" ht="40.5" x14ac:dyDescent="0.3">
      <c r="A406" s="15">
        <v>14559</v>
      </c>
      <c r="B406" s="15">
        <v>15162</v>
      </c>
      <c r="C406" s="15">
        <v>1</v>
      </c>
      <c r="D406" s="15" t="s">
        <v>4</v>
      </c>
      <c r="E406" s="20" t="s">
        <v>423</v>
      </c>
      <c r="F406" s="15">
        <v>3</v>
      </c>
      <c r="G406" s="15">
        <v>3</v>
      </c>
      <c r="H406" s="21">
        <v>3</v>
      </c>
      <c r="I406" s="15">
        <v>3</v>
      </c>
      <c r="J406" s="15">
        <v>3</v>
      </c>
      <c r="K406" s="21">
        <v>3</v>
      </c>
      <c r="L406" s="15">
        <v>2</v>
      </c>
      <c r="M406" s="15">
        <v>3</v>
      </c>
      <c r="N406" s="21">
        <v>3</v>
      </c>
      <c r="O406" s="15">
        <v>4</v>
      </c>
      <c r="P406" s="15">
        <v>3</v>
      </c>
      <c r="Q406" s="21">
        <v>3</v>
      </c>
      <c r="R406" s="15">
        <f t="shared" si="24"/>
        <v>3</v>
      </c>
      <c r="S406" s="15">
        <f t="shared" si="25"/>
        <v>3</v>
      </c>
      <c r="T406" s="15">
        <f t="shared" si="26"/>
        <v>2.6666666666666665</v>
      </c>
      <c r="U406" s="15">
        <f t="shared" si="27"/>
        <v>3.3333333333333335</v>
      </c>
    </row>
    <row r="407" spans="1:21" ht="54" x14ac:dyDescent="0.3">
      <c r="A407" s="15">
        <v>14634</v>
      </c>
      <c r="B407" s="15">
        <v>14540</v>
      </c>
      <c r="C407" s="15">
        <v>1</v>
      </c>
      <c r="D407" s="15" t="s">
        <v>4</v>
      </c>
      <c r="E407" s="20" t="s">
        <v>424</v>
      </c>
      <c r="F407" s="15">
        <v>3</v>
      </c>
      <c r="G407" s="15">
        <v>3</v>
      </c>
      <c r="H407" s="21">
        <v>3</v>
      </c>
      <c r="I407" s="15">
        <v>3</v>
      </c>
      <c r="J407" s="15">
        <v>1</v>
      </c>
      <c r="K407" s="21">
        <v>3</v>
      </c>
      <c r="L407" s="15">
        <v>2</v>
      </c>
      <c r="M407" s="15">
        <v>1</v>
      </c>
      <c r="N407" s="21">
        <v>3</v>
      </c>
      <c r="O407" s="15">
        <v>4</v>
      </c>
      <c r="P407" s="15">
        <v>3</v>
      </c>
      <c r="Q407" s="21">
        <v>3</v>
      </c>
      <c r="R407" s="15">
        <f t="shared" si="24"/>
        <v>3</v>
      </c>
      <c r="S407" s="15">
        <f t="shared" si="25"/>
        <v>2.3333333333333335</v>
      </c>
      <c r="T407" s="15">
        <f t="shared" si="26"/>
        <v>2</v>
      </c>
      <c r="U407" s="15">
        <f t="shared" si="27"/>
        <v>3.3333333333333335</v>
      </c>
    </row>
    <row r="408" spans="1:21" ht="67.5" x14ac:dyDescent="0.3">
      <c r="A408" s="15">
        <v>5430</v>
      </c>
      <c r="B408" s="15">
        <v>13195</v>
      </c>
      <c r="C408" s="15">
        <v>1</v>
      </c>
      <c r="D408" s="15" t="s">
        <v>4</v>
      </c>
      <c r="E408" s="20" t="s">
        <v>425</v>
      </c>
      <c r="F408" s="15">
        <v>4</v>
      </c>
      <c r="G408" s="15">
        <v>3</v>
      </c>
      <c r="H408" s="21">
        <v>3</v>
      </c>
      <c r="I408" s="15">
        <v>3</v>
      </c>
      <c r="J408" s="15">
        <v>3</v>
      </c>
      <c r="K408" s="21">
        <v>3</v>
      </c>
      <c r="L408" s="15">
        <v>2</v>
      </c>
      <c r="M408" s="15">
        <v>1</v>
      </c>
      <c r="N408" s="21">
        <v>1</v>
      </c>
      <c r="O408" s="15">
        <v>3</v>
      </c>
      <c r="P408" s="15">
        <v>3</v>
      </c>
      <c r="Q408" s="21">
        <v>3</v>
      </c>
      <c r="R408" s="15">
        <f t="shared" si="24"/>
        <v>3.3333333333333335</v>
      </c>
      <c r="S408" s="15">
        <f t="shared" si="25"/>
        <v>3</v>
      </c>
      <c r="T408" s="15">
        <f t="shared" si="26"/>
        <v>1.3333333333333333</v>
      </c>
      <c r="U408" s="15">
        <f t="shared" si="27"/>
        <v>3</v>
      </c>
    </row>
    <row r="409" spans="1:21" ht="54" x14ac:dyDescent="0.3">
      <c r="A409" s="15">
        <v>389</v>
      </c>
      <c r="B409" s="15">
        <v>10889</v>
      </c>
      <c r="C409" s="15">
        <v>1</v>
      </c>
      <c r="D409" s="15" t="s">
        <v>231</v>
      </c>
      <c r="E409" s="20" t="s">
        <v>426</v>
      </c>
      <c r="F409" s="15">
        <v>3</v>
      </c>
      <c r="G409" s="15">
        <v>3</v>
      </c>
      <c r="H409" s="21">
        <v>4</v>
      </c>
      <c r="I409" s="15">
        <v>3</v>
      </c>
      <c r="J409" s="15">
        <v>3</v>
      </c>
      <c r="K409" s="21">
        <v>3</v>
      </c>
      <c r="L409" s="15">
        <v>2</v>
      </c>
      <c r="M409" s="15">
        <v>1</v>
      </c>
      <c r="N409" s="21">
        <v>3</v>
      </c>
      <c r="O409" s="15">
        <v>4</v>
      </c>
      <c r="P409" s="15">
        <v>3</v>
      </c>
      <c r="Q409" s="21">
        <v>4</v>
      </c>
      <c r="R409" s="15">
        <f t="shared" si="24"/>
        <v>3.3333333333333335</v>
      </c>
      <c r="S409" s="15">
        <f t="shared" si="25"/>
        <v>3</v>
      </c>
      <c r="T409" s="15">
        <f t="shared" si="26"/>
        <v>2</v>
      </c>
      <c r="U409" s="15">
        <f t="shared" si="27"/>
        <v>3.6666666666666665</v>
      </c>
    </row>
    <row r="410" spans="1:21" ht="81" x14ac:dyDescent="0.3">
      <c r="A410" s="15">
        <v>15215</v>
      </c>
      <c r="B410" s="15">
        <v>15125</v>
      </c>
      <c r="C410" s="15">
        <v>1</v>
      </c>
      <c r="D410" s="15" t="s">
        <v>4</v>
      </c>
      <c r="E410" s="20" t="s">
        <v>427</v>
      </c>
      <c r="F410" s="15">
        <v>5</v>
      </c>
      <c r="G410" s="15">
        <v>4</v>
      </c>
      <c r="H410" s="21">
        <v>3</v>
      </c>
      <c r="I410" s="15">
        <v>5</v>
      </c>
      <c r="J410" s="15">
        <v>3</v>
      </c>
      <c r="K410" s="21">
        <v>5</v>
      </c>
      <c r="L410" s="15">
        <v>2</v>
      </c>
      <c r="M410" s="15">
        <v>2</v>
      </c>
      <c r="N410" s="21">
        <v>3</v>
      </c>
      <c r="O410" s="15">
        <v>4</v>
      </c>
      <c r="P410" s="15">
        <v>3</v>
      </c>
      <c r="Q410" s="21">
        <v>3</v>
      </c>
      <c r="R410" s="15">
        <f t="shared" si="24"/>
        <v>4</v>
      </c>
      <c r="S410" s="15">
        <f t="shared" si="25"/>
        <v>4.333333333333333</v>
      </c>
      <c r="T410" s="15">
        <f t="shared" si="26"/>
        <v>2.3333333333333335</v>
      </c>
      <c r="U410" s="15">
        <f t="shared" si="27"/>
        <v>3.3333333333333335</v>
      </c>
    </row>
    <row r="411" spans="1:21" ht="54" x14ac:dyDescent="0.3">
      <c r="A411" s="15">
        <v>13642</v>
      </c>
      <c r="B411" s="15">
        <v>10953</v>
      </c>
      <c r="C411" s="15">
        <v>1</v>
      </c>
      <c r="D411" s="15" t="s">
        <v>231</v>
      </c>
      <c r="E411" s="20" t="s">
        <v>428</v>
      </c>
      <c r="F411" s="15">
        <v>4</v>
      </c>
      <c r="G411" s="15">
        <v>3</v>
      </c>
      <c r="H411" s="21">
        <v>3</v>
      </c>
      <c r="I411" s="15">
        <v>3</v>
      </c>
      <c r="J411" s="15">
        <v>1</v>
      </c>
      <c r="K411" s="21">
        <v>3</v>
      </c>
      <c r="L411" s="15">
        <v>2</v>
      </c>
      <c r="M411" s="15">
        <v>1</v>
      </c>
      <c r="N411" s="21">
        <v>2</v>
      </c>
      <c r="O411" s="15">
        <v>3</v>
      </c>
      <c r="P411" s="15">
        <v>3</v>
      </c>
      <c r="Q411" s="21">
        <v>3</v>
      </c>
      <c r="R411" s="15">
        <f t="shared" si="24"/>
        <v>3.3333333333333335</v>
      </c>
      <c r="S411" s="15">
        <f t="shared" si="25"/>
        <v>2.3333333333333335</v>
      </c>
      <c r="T411" s="15">
        <f t="shared" si="26"/>
        <v>1.6666666666666667</v>
      </c>
      <c r="U411" s="15">
        <f t="shared" si="27"/>
        <v>3</v>
      </c>
    </row>
    <row r="412" spans="1:21" ht="27" x14ac:dyDescent="0.3">
      <c r="A412" s="15">
        <v>13165</v>
      </c>
      <c r="B412" s="15">
        <v>10174</v>
      </c>
      <c r="C412" s="15">
        <v>1</v>
      </c>
      <c r="D412" s="15" t="s">
        <v>4</v>
      </c>
      <c r="E412" s="20" t="s">
        <v>429</v>
      </c>
      <c r="F412" s="15">
        <v>3</v>
      </c>
      <c r="G412" s="15">
        <v>2</v>
      </c>
      <c r="H412" s="21">
        <v>3</v>
      </c>
      <c r="I412" s="15">
        <v>3</v>
      </c>
      <c r="J412" s="15">
        <v>3</v>
      </c>
      <c r="K412" s="21">
        <v>3</v>
      </c>
      <c r="L412" s="15">
        <v>2</v>
      </c>
      <c r="M412" s="15">
        <v>3</v>
      </c>
      <c r="N412" s="21">
        <v>1</v>
      </c>
      <c r="O412" s="15">
        <v>4</v>
      </c>
      <c r="P412" s="15">
        <v>3</v>
      </c>
      <c r="Q412" s="21">
        <v>3</v>
      </c>
      <c r="R412" s="15">
        <f t="shared" si="24"/>
        <v>2.6666666666666665</v>
      </c>
      <c r="S412" s="15">
        <f t="shared" si="25"/>
        <v>3</v>
      </c>
      <c r="T412" s="15">
        <f t="shared" si="26"/>
        <v>2</v>
      </c>
      <c r="U412" s="15">
        <f t="shared" si="27"/>
        <v>3.3333333333333335</v>
      </c>
    </row>
    <row r="413" spans="1:21" ht="40.5" x14ac:dyDescent="0.3">
      <c r="A413" s="15">
        <v>15018</v>
      </c>
      <c r="B413" s="15">
        <v>10561</v>
      </c>
      <c r="C413" s="15">
        <v>1</v>
      </c>
      <c r="D413" s="15" t="s">
        <v>4</v>
      </c>
      <c r="E413" s="20" t="s">
        <v>430</v>
      </c>
      <c r="F413" s="15">
        <v>3</v>
      </c>
      <c r="G413" s="15">
        <v>3</v>
      </c>
      <c r="H413" s="21">
        <v>3</v>
      </c>
      <c r="I413" s="15">
        <v>3</v>
      </c>
      <c r="J413" s="15">
        <v>3</v>
      </c>
      <c r="K413" s="21">
        <v>3</v>
      </c>
      <c r="L413" s="15">
        <v>2</v>
      </c>
      <c r="M413" s="15">
        <v>1</v>
      </c>
      <c r="N413" s="21">
        <v>1</v>
      </c>
      <c r="O413" s="15">
        <v>3</v>
      </c>
      <c r="P413" s="15">
        <v>3</v>
      </c>
      <c r="Q413" s="21">
        <v>3</v>
      </c>
      <c r="R413" s="15">
        <f t="shared" si="24"/>
        <v>3</v>
      </c>
      <c r="S413" s="15">
        <f t="shared" si="25"/>
        <v>3</v>
      </c>
      <c r="T413" s="15">
        <f t="shared" si="26"/>
        <v>1.3333333333333333</v>
      </c>
      <c r="U413" s="15">
        <f t="shared" si="27"/>
        <v>3</v>
      </c>
    </row>
    <row r="414" spans="1:21" ht="67.5" x14ac:dyDescent="0.3">
      <c r="A414" s="15">
        <v>14416</v>
      </c>
      <c r="B414" s="15">
        <v>11337</v>
      </c>
      <c r="C414" s="15">
        <v>1</v>
      </c>
      <c r="D414" s="15" t="s">
        <v>229</v>
      </c>
      <c r="E414" s="20" t="s">
        <v>431</v>
      </c>
      <c r="F414" s="15">
        <v>4</v>
      </c>
      <c r="G414" s="15">
        <v>4</v>
      </c>
      <c r="H414" s="21">
        <v>3</v>
      </c>
      <c r="I414" s="15">
        <v>4</v>
      </c>
      <c r="J414" s="15">
        <v>3</v>
      </c>
      <c r="K414" s="21">
        <v>3</v>
      </c>
      <c r="L414" s="15">
        <v>2</v>
      </c>
      <c r="M414" s="15">
        <v>3</v>
      </c>
      <c r="N414" s="21">
        <v>3</v>
      </c>
      <c r="O414" s="15">
        <v>4</v>
      </c>
      <c r="P414" s="15">
        <v>4</v>
      </c>
      <c r="Q414" s="21">
        <v>3</v>
      </c>
      <c r="R414" s="15">
        <f t="shared" si="24"/>
        <v>3.6666666666666665</v>
      </c>
      <c r="S414" s="15">
        <f t="shared" si="25"/>
        <v>3.3333333333333335</v>
      </c>
      <c r="T414" s="15">
        <f t="shared" si="26"/>
        <v>2.6666666666666665</v>
      </c>
      <c r="U414" s="15">
        <f t="shared" si="27"/>
        <v>3.6666666666666665</v>
      </c>
    </row>
    <row r="415" spans="1:21" ht="54" x14ac:dyDescent="0.3">
      <c r="A415" s="15">
        <v>1452</v>
      </c>
      <c r="B415" s="15">
        <v>14661</v>
      </c>
      <c r="C415" s="15">
        <v>1</v>
      </c>
      <c r="D415" s="15" t="s">
        <v>4</v>
      </c>
      <c r="E415" s="20" t="s">
        <v>432</v>
      </c>
      <c r="F415" s="15">
        <v>4</v>
      </c>
      <c r="G415" s="15">
        <v>3</v>
      </c>
      <c r="H415" s="21">
        <v>5</v>
      </c>
      <c r="I415" s="15">
        <v>3</v>
      </c>
      <c r="J415" s="15">
        <v>3</v>
      </c>
      <c r="K415" s="21">
        <v>3</v>
      </c>
      <c r="L415" s="15">
        <v>2</v>
      </c>
      <c r="M415" s="15">
        <v>3</v>
      </c>
      <c r="N415" s="21">
        <v>3</v>
      </c>
      <c r="O415" s="15">
        <v>4</v>
      </c>
      <c r="P415" s="15">
        <v>4</v>
      </c>
      <c r="Q415" s="21">
        <v>5</v>
      </c>
      <c r="R415" s="15">
        <f t="shared" si="24"/>
        <v>4</v>
      </c>
      <c r="S415" s="15">
        <f t="shared" si="25"/>
        <v>3</v>
      </c>
      <c r="T415" s="15">
        <f t="shared" si="26"/>
        <v>2.6666666666666665</v>
      </c>
      <c r="U415" s="15">
        <f t="shared" si="27"/>
        <v>4.333333333333333</v>
      </c>
    </row>
    <row r="416" spans="1:21" ht="40.5" x14ac:dyDescent="0.3">
      <c r="A416" s="15">
        <v>16814</v>
      </c>
      <c r="B416" s="15">
        <v>11777</v>
      </c>
      <c r="C416" s="15">
        <v>1</v>
      </c>
      <c r="D416" s="15" t="s">
        <v>4</v>
      </c>
      <c r="E416" s="20" t="s">
        <v>433</v>
      </c>
      <c r="F416" s="15">
        <v>3</v>
      </c>
      <c r="G416" s="15">
        <v>2</v>
      </c>
      <c r="H416" s="21">
        <v>3</v>
      </c>
      <c r="I416" s="15">
        <v>3</v>
      </c>
      <c r="J416" s="15">
        <v>3</v>
      </c>
      <c r="K416" s="21">
        <v>3</v>
      </c>
      <c r="L416" s="15">
        <v>2</v>
      </c>
      <c r="M416" s="15">
        <v>3</v>
      </c>
      <c r="N416" s="21">
        <v>1</v>
      </c>
      <c r="O416" s="15">
        <v>4</v>
      </c>
      <c r="P416" s="15">
        <v>3</v>
      </c>
      <c r="Q416" s="21">
        <v>3</v>
      </c>
      <c r="R416" s="15">
        <f t="shared" si="24"/>
        <v>2.6666666666666665</v>
      </c>
      <c r="S416" s="15">
        <f t="shared" si="25"/>
        <v>3</v>
      </c>
      <c r="T416" s="15">
        <f t="shared" si="26"/>
        <v>2</v>
      </c>
      <c r="U416" s="15">
        <f t="shared" si="27"/>
        <v>3.3333333333333335</v>
      </c>
    </row>
    <row r="417" spans="1:21" ht="27" x14ac:dyDescent="0.3">
      <c r="A417" s="15">
        <v>3924</v>
      </c>
      <c r="B417" s="15">
        <v>12003</v>
      </c>
      <c r="C417" s="15">
        <v>1</v>
      </c>
      <c r="D417" s="15" t="s">
        <v>4</v>
      </c>
      <c r="E417" s="20" t="s">
        <v>434</v>
      </c>
      <c r="F417" s="15">
        <v>3</v>
      </c>
      <c r="G417" s="15">
        <v>2</v>
      </c>
      <c r="H417" s="21">
        <v>3</v>
      </c>
      <c r="I417" s="15">
        <v>3</v>
      </c>
      <c r="J417" s="15">
        <v>3</v>
      </c>
      <c r="K417" s="21">
        <v>3</v>
      </c>
      <c r="L417" s="15">
        <v>2</v>
      </c>
      <c r="M417" s="15">
        <v>3</v>
      </c>
      <c r="N417" s="21">
        <v>1</v>
      </c>
      <c r="O417" s="15">
        <v>4</v>
      </c>
      <c r="P417" s="15">
        <v>3</v>
      </c>
      <c r="Q417" s="21">
        <v>3</v>
      </c>
      <c r="R417" s="15">
        <f t="shared" si="24"/>
        <v>2.6666666666666665</v>
      </c>
      <c r="S417" s="15">
        <f t="shared" si="25"/>
        <v>3</v>
      </c>
      <c r="T417" s="15">
        <f t="shared" si="26"/>
        <v>2</v>
      </c>
      <c r="U417" s="15">
        <f t="shared" si="27"/>
        <v>3.3333333333333335</v>
      </c>
    </row>
    <row r="418" spans="1:21" ht="67.5" x14ac:dyDescent="0.3">
      <c r="A418" s="15">
        <v>7002</v>
      </c>
      <c r="B418" s="15">
        <v>14179</v>
      </c>
      <c r="C418" s="15">
        <v>1</v>
      </c>
      <c r="D418" s="15" t="s">
        <v>11</v>
      </c>
      <c r="E418" s="20" t="s">
        <v>435</v>
      </c>
      <c r="F418" s="15">
        <v>3</v>
      </c>
      <c r="G418" s="15">
        <v>3</v>
      </c>
      <c r="H418" s="21">
        <v>3</v>
      </c>
      <c r="I418" s="15">
        <v>4</v>
      </c>
      <c r="J418" s="15">
        <v>3</v>
      </c>
      <c r="K418" s="21">
        <v>3</v>
      </c>
      <c r="L418" s="15">
        <v>2</v>
      </c>
      <c r="M418" s="15">
        <v>1</v>
      </c>
      <c r="N418" s="21">
        <v>3</v>
      </c>
      <c r="O418" s="15">
        <v>4</v>
      </c>
      <c r="P418" s="15">
        <v>3</v>
      </c>
      <c r="Q418" s="21">
        <v>3</v>
      </c>
      <c r="R418" s="15">
        <f t="shared" si="24"/>
        <v>3</v>
      </c>
      <c r="S418" s="15">
        <f t="shared" si="25"/>
        <v>3.3333333333333335</v>
      </c>
      <c r="T418" s="15">
        <f t="shared" si="26"/>
        <v>2</v>
      </c>
      <c r="U418" s="15">
        <f t="shared" si="27"/>
        <v>3.3333333333333335</v>
      </c>
    </row>
    <row r="419" spans="1:21" ht="94.5" x14ac:dyDescent="0.3">
      <c r="A419" s="15">
        <v>17030</v>
      </c>
      <c r="B419" s="15">
        <v>12137</v>
      </c>
      <c r="C419" s="15">
        <v>1</v>
      </c>
      <c r="D419" s="15" t="s">
        <v>4</v>
      </c>
      <c r="E419" s="20" t="s">
        <v>436</v>
      </c>
      <c r="F419" s="15">
        <v>4</v>
      </c>
      <c r="G419" s="15">
        <v>4</v>
      </c>
      <c r="H419" s="21">
        <v>4</v>
      </c>
      <c r="I419" s="15">
        <v>5</v>
      </c>
      <c r="J419" s="15">
        <v>5</v>
      </c>
      <c r="K419" s="21">
        <v>5</v>
      </c>
      <c r="L419" s="15">
        <v>2</v>
      </c>
      <c r="M419" s="15">
        <v>3</v>
      </c>
      <c r="N419" s="21">
        <v>3</v>
      </c>
      <c r="O419" s="15">
        <v>4</v>
      </c>
      <c r="P419" s="15">
        <v>3</v>
      </c>
      <c r="Q419" s="21">
        <v>5</v>
      </c>
      <c r="R419" s="15">
        <f t="shared" si="24"/>
        <v>4</v>
      </c>
      <c r="S419" s="15">
        <f t="shared" si="25"/>
        <v>5</v>
      </c>
      <c r="T419" s="15">
        <f t="shared" si="26"/>
        <v>2.6666666666666665</v>
      </c>
      <c r="U419" s="15">
        <f t="shared" si="27"/>
        <v>4</v>
      </c>
    </row>
    <row r="420" spans="1:21" ht="67.5" x14ac:dyDescent="0.3">
      <c r="A420" s="15">
        <v>15916</v>
      </c>
      <c r="B420" s="15">
        <v>13724</v>
      </c>
      <c r="C420" s="15">
        <v>1</v>
      </c>
      <c r="D420" s="15" t="s">
        <v>11</v>
      </c>
      <c r="E420" s="20" t="s">
        <v>437</v>
      </c>
      <c r="F420" s="15">
        <v>4</v>
      </c>
      <c r="G420" s="15">
        <v>2</v>
      </c>
      <c r="H420" s="21">
        <v>3</v>
      </c>
      <c r="I420" s="15">
        <v>4</v>
      </c>
      <c r="J420" s="15">
        <v>3</v>
      </c>
      <c r="K420" s="21">
        <v>3</v>
      </c>
      <c r="L420" s="15">
        <v>2</v>
      </c>
      <c r="M420" s="15">
        <v>3</v>
      </c>
      <c r="N420" s="21">
        <v>2</v>
      </c>
      <c r="O420" s="15">
        <v>4</v>
      </c>
      <c r="P420" s="15">
        <v>3</v>
      </c>
      <c r="Q420" s="21">
        <v>3</v>
      </c>
      <c r="R420" s="15">
        <f t="shared" si="24"/>
        <v>3</v>
      </c>
      <c r="S420" s="15">
        <f t="shared" si="25"/>
        <v>3.3333333333333335</v>
      </c>
      <c r="T420" s="15">
        <f t="shared" si="26"/>
        <v>2.3333333333333335</v>
      </c>
      <c r="U420" s="15">
        <f t="shared" si="27"/>
        <v>3.3333333333333335</v>
      </c>
    </row>
    <row r="421" spans="1:21" ht="40.5" x14ac:dyDescent="0.3">
      <c r="A421" s="15">
        <v>12503</v>
      </c>
      <c r="B421" s="15">
        <v>11574</v>
      </c>
      <c r="C421" s="15">
        <v>1</v>
      </c>
      <c r="D421" s="15" t="s">
        <v>231</v>
      </c>
      <c r="E421" s="20" t="s">
        <v>438</v>
      </c>
      <c r="F421" s="15">
        <v>3</v>
      </c>
      <c r="G421" s="15">
        <v>2</v>
      </c>
      <c r="H421" s="21">
        <v>3</v>
      </c>
      <c r="I421" s="15">
        <v>3</v>
      </c>
      <c r="J421" s="15">
        <v>3</v>
      </c>
      <c r="K421" s="21">
        <v>3</v>
      </c>
      <c r="L421" s="15">
        <v>2</v>
      </c>
      <c r="M421" s="15">
        <v>3</v>
      </c>
      <c r="N421" s="21">
        <v>2</v>
      </c>
      <c r="O421" s="15">
        <v>4</v>
      </c>
      <c r="P421" s="15">
        <v>2</v>
      </c>
      <c r="Q421" s="21">
        <v>2</v>
      </c>
      <c r="R421" s="15">
        <f t="shared" si="24"/>
        <v>2.6666666666666665</v>
      </c>
      <c r="S421" s="15">
        <f t="shared" si="25"/>
        <v>3</v>
      </c>
      <c r="T421" s="15">
        <f t="shared" si="26"/>
        <v>2.3333333333333335</v>
      </c>
      <c r="U421" s="15">
        <f t="shared" si="27"/>
        <v>2.6666666666666665</v>
      </c>
    </row>
    <row r="422" spans="1:21" ht="81" x14ac:dyDescent="0.3">
      <c r="A422" s="15">
        <v>11544</v>
      </c>
      <c r="B422" s="15">
        <v>15020</v>
      </c>
      <c r="C422" s="15">
        <v>1</v>
      </c>
      <c r="D422" s="15" t="s">
        <v>4</v>
      </c>
      <c r="E422" s="20" t="s">
        <v>439</v>
      </c>
      <c r="F422" s="15">
        <v>4</v>
      </c>
      <c r="G422" s="15">
        <v>3</v>
      </c>
      <c r="H422" s="21">
        <v>3</v>
      </c>
      <c r="I422" s="15">
        <v>3</v>
      </c>
      <c r="J422" s="15">
        <v>3</v>
      </c>
      <c r="K422" s="21">
        <v>5</v>
      </c>
      <c r="L422" s="15">
        <v>2</v>
      </c>
      <c r="M422" s="15">
        <v>2</v>
      </c>
      <c r="N422" s="21">
        <v>2</v>
      </c>
      <c r="O422" s="15">
        <v>4</v>
      </c>
      <c r="P422" s="15">
        <v>3</v>
      </c>
      <c r="Q422" s="21">
        <v>3</v>
      </c>
      <c r="R422" s="15">
        <f t="shared" si="24"/>
        <v>3.3333333333333335</v>
      </c>
      <c r="S422" s="15">
        <f t="shared" si="25"/>
        <v>3.6666666666666665</v>
      </c>
      <c r="T422" s="15">
        <f t="shared" si="26"/>
        <v>2</v>
      </c>
      <c r="U422" s="15">
        <f t="shared" si="27"/>
        <v>3.3333333333333335</v>
      </c>
    </row>
    <row r="423" spans="1:21" ht="54" x14ac:dyDescent="0.3">
      <c r="A423" s="15">
        <v>7048</v>
      </c>
      <c r="B423" s="15">
        <v>13323</v>
      </c>
      <c r="C423" s="15">
        <v>1</v>
      </c>
      <c r="D423" s="15" t="s">
        <v>11</v>
      </c>
      <c r="E423" s="20" t="s">
        <v>440</v>
      </c>
      <c r="F423" s="15">
        <v>3</v>
      </c>
      <c r="G423" s="15">
        <v>3</v>
      </c>
      <c r="H423" s="21">
        <v>3</v>
      </c>
      <c r="I423" s="15">
        <v>3</v>
      </c>
      <c r="J423" s="15">
        <v>3</v>
      </c>
      <c r="K423" s="21">
        <v>3</v>
      </c>
      <c r="L423" s="15">
        <v>2</v>
      </c>
      <c r="M423" s="15">
        <v>2</v>
      </c>
      <c r="N423" s="21">
        <v>3</v>
      </c>
      <c r="O423" s="15">
        <v>4</v>
      </c>
      <c r="P423" s="15">
        <v>3</v>
      </c>
      <c r="Q423" s="21">
        <v>3</v>
      </c>
      <c r="R423" s="15">
        <f t="shared" si="24"/>
        <v>3</v>
      </c>
      <c r="S423" s="15">
        <f t="shared" si="25"/>
        <v>3</v>
      </c>
      <c r="T423" s="15">
        <f t="shared" si="26"/>
        <v>2.3333333333333335</v>
      </c>
      <c r="U423" s="15">
        <f t="shared" si="27"/>
        <v>3.3333333333333335</v>
      </c>
    </row>
    <row r="424" spans="1:21" ht="27" x14ac:dyDescent="0.3">
      <c r="A424" s="15">
        <v>13509</v>
      </c>
      <c r="B424" s="15">
        <v>14734</v>
      </c>
      <c r="C424" s="15">
        <v>1</v>
      </c>
      <c r="D424" s="15" t="s">
        <v>4</v>
      </c>
      <c r="E424" s="20" t="s">
        <v>441</v>
      </c>
      <c r="F424" s="15">
        <v>3</v>
      </c>
      <c r="G424" s="15">
        <v>2</v>
      </c>
      <c r="H424" s="21">
        <v>3</v>
      </c>
      <c r="I424" s="15">
        <v>3</v>
      </c>
      <c r="J424" s="15">
        <v>3</v>
      </c>
      <c r="K424" s="21">
        <v>3</v>
      </c>
      <c r="L424" s="15">
        <v>2</v>
      </c>
      <c r="M424" s="15">
        <v>1</v>
      </c>
      <c r="N424" s="21">
        <v>1</v>
      </c>
      <c r="O424" s="15">
        <v>4</v>
      </c>
      <c r="P424" s="15">
        <v>2</v>
      </c>
      <c r="Q424" s="21">
        <v>3</v>
      </c>
      <c r="R424" s="15">
        <f t="shared" si="24"/>
        <v>2.6666666666666665</v>
      </c>
      <c r="S424" s="15">
        <f t="shared" si="25"/>
        <v>3</v>
      </c>
      <c r="T424" s="15">
        <f t="shared" si="26"/>
        <v>1.3333333333333333</v>
      </c>
      <c r="U424" s="15">
        <f t="shared" si="27"/>
        <v>3</v>
      </c>
    </row>
    <row r="425" spans="1:21" ht="81" x14ac:dyDescent="0.3">
      <c r="A425" s="15">
        <v>1362</v>
      </c>
      <c r="B425" s="15">
        <v>14830</v>
      </c>
      <c r="C425" s="15">
        <v>1</v>
      </c>
      <c r="D425" s="15" t="s">
        <v>4</v>
      </c>
      <c r="E425" s="20" t="s">
        <v>442</v>
      </c>
      <c r="F425" s="15">
        <v>4</v>
      </c>
      <c r="G425" s="15">
        <v>3</v>
      </c>
      <c r="H425" s="21">
        <v>4</v>
      </c>
      <c r="I425" s="15">
        <v>4</v>
      </c>
      <c r="J425" s="15">
        <v>3</v>
      </c>
      <c r="K425" s="21">
        <v>3</v>
      </c>
      <c r="L425" s="15">
        <v>2</v>
      </c>
      <c r="M425" s="15">
        <v>3</v>
      </c>
      <c r="N425" s="21">
        <v>3</v>
      </c>
      <c r="O425" s="15">
        <v>3</v>
      </c>
      <c r="P425" s="15">
        <v>3</v>
      </c>
      <c r="Q425" s="21">
        <v>5</v>
      </c>
      <c r="R425" s="15">
        <f t="shared" si="24"/>
        <v>3.6666666666666665</v>
      </c>
      <c r="S425" s="15">
        <f t="shared" si="25"/>
        <v>3.3333333333333335</v>
      </c>
      <c r="T425" s="15">
        <f t="shared" si="26"/>
        <v>2.6666666666666665</v>
      </c>
      <c r="U425" s="15">
        <f t="shared" si="27"/>
        <v>3.6666666666666665</v>
      </c>
    </row>
    <row r="426" spans="1:21" ht="67.5" x14ac:dyDescent="0.3">
      <c r="A426" s="15">
        <v>11260</v>
      </c>
      <c r="B426" s="15">
        <v>10691</v>
      </c>
      <c r="C426" s="15">
        <v>1</v>
      </c>
      <c r="D426" s="15" t="s">
        <v>4</v>
      </c>
      <c r="E426" s="20" t="s">
        <v>443</v>
      </c>
      <c r="F426" s="15">
        <v>4</v>
      </c>
      <c r="G426" s="15">
        <v>3</v>
      </c>
      <c r="H426" s="21">
        <v>4</v>
      </c>
      <c r="I426" s="15">
        <v>5</v>
      </c>
      <c r="J426" s="15">
        <v>3</v>
      </c>
      <c r="K426" s="21">
        <v>3</v>
      </c>
      <c r="L426" s="15">
        <v>2</v>
      </c>
      <c r="M426" s="15">
        <v>1</v>
      </c>
      <c r="N426" s="21">
        <v>1</v>
      </c>
      <c r="O426" s="15">
        <v>4</v>
      </c>
      <c r="P426" s="15">
        <v>3</v>
      </c>
      <c r="Q426" s="21">
        <v>3</v>
      </c>
      <c r="R426" s="15">
        <f t="shared" si="24"/>
        <v>3.6666666666666665</v>
      </c>
      <c r="S426" s="15">
        <f t="shared" si="25"/>
        <v>3.6666666666666665</v>
      </c>
      <c r="T426" s="15">
        <f t="shared" si="26"/>
        <v>1.3333333333333333</v>
      </c>
      <c r="U426" s="15">
        <f t="shared" si="27"/>
        <v>3.3333333333333335</v>
      </c>
    </row>
    <row r="427" spans="1:21" ht="54" x14ac:dyDescent="0.3">
      <c r="A427" s="15">
        <v>5724</v>
      </c>
      <c r="B427" s="15">
        <v>10195</v>
      </c>
      <c r="C427" s="15">
        <v>1</v>
      </c>
      <c r="D427" s="15" t="s">
        <v>4</v>
      </c>
      <c r="E427" s="20" t="s">
        <v>444</v>
      </c>
      <c r="F427" s="15">
        <v>3</v>
      </c>
      <c r="G427" s="15">
        <v>3</v>
      </c>
      <c r="H427" s="21">
        <v>4</v>
      </c>
      <c r="I427" s="15">
        <v>4</v>
      </c>
      <c r="J427" s="15">
        <v>3</v>
      </c>
      <c r="K427" s="21">
        <v>3</v>
      </c>
      <c r="L427" s="15">
        <v>2</v>
      </c>
      <c r="M427" s="15">
        <v>3</v>
      </c>
      <c r="N427" s="21">
        <v>3</v>
      </c>
      <c r="O427" s="15">
        <v>4</v>
      </c>
      <c r="P427" s="15">
        <v>3</v>
      </c>
      <c r="Q427" s="21">
        <v>4</v>
      </c>
      <c r="R427" s="15">
        <f t="shared" si="24"/>
        <v>3.3333333333333335</v>
      </c>
      <c r="S427" s="15">
        <f t="shared" si="25"/>
        <v>3.3333333333333335</v>
      </c>
      <c r="T427" s="15">
        <f t="shared" si="26"/>
        <v>2.6666666666666665</v>
      </c>
      <c r="U427" s="15">
        <f t="shared" si="27"/>
        <v>3.6666666666666665</v>
      </c>
    </row>
    <row r="428" spans="1:21" ht="81" x14ac:dyDescent="0.3">
      <c r="A428" s="15">
        <v>4017</v>
      </c>
      <c r="B428" s="15">
        <v>13292</v>
      </c>
      <c r="C428" s="15">
        <v>1</v>
      </c>
      <c r="D428" s="15" t="s">
        <v>11</v>
      </c>
      <c r="E428" s="20" t="s">
        <v>445</v>
      </c>
      <c r="F428" s="15">
        <v>4</v>
      </c>
      <c r="G428" s="15">
        <v>3</v>
      </c>
      <c r="H428" s="21">
        <v>4</v>
      </c>
      <c r="I428" s="15">
        <v>5</v>
      </c>
      <c r="J428" s="15">
        <v>1</v>
      </c>
      <c r="K428" s="21">
        <v>3</v>
      </c>
      <c r="L428" s="15">
        <v>2</v>
      </c>
      <c r="M428" s="15">
        <v>1</v>
      </c>
      <c r="N428" s="21">
        <v>3</v>
      </c>
      <c r="O428" s="15">
        <v>4</v>
      </c>
      <c r="P428" s="15">
        <v>3</v>
      </c>
      <c r="Q428" s="21">
        <v>4</v>
      </c>
      <c r="R428" s="15">
        <f t="shared" si="24"/>
        <v>3.6666666666666665</v>
      </c>
      <c r="S428" s="15">
        <f t="shared" si="25"/>
        <v>3</v>
      </c>
      <c r="T428" s="15">
        <f t="shared" si="26"/>
        <v>2</v>
      </c>
      <c r="U428" s="15">
        <f t="shared" si="27"/>
        <v>3.6666666666666665</v>
      </c>
    </row>
    <row r="429" spans="1:21" ht="40.5" x14ac:dyDescent="0.3">
      <c r="A429" s="15">
        <v>14848</v>
      </c>
      <c r="B429" s="15">
        <v>10391</v>
      </c>
      <c r="C429" s="15">
        <v>1</v>
      </c>
      <c r="D429" s="15" t="s">
        <v>4</v>
      </c>
      <c r="E429" s="20" t="s">
        <v>446</v>
      </c>
      <c r="F429" s="15">
        <v>3</v>
      </c>
      <c r="G429" s="15">
        <v>3</v>
      </c>
      <c r="H429" s="21">
        <v>4</v>
      </c>
      <c r="I429" s="15">
        <v>3</v>
      </c>
      <c r="J429" s="15">
        <v>3</v>
      </c>
      <c r="K429" s="21">
        <v>3</v>
      </c>
      <c r="L429" s="15">
        <v>2</v>
      </c>
      <c r="M429" s="15">
        <v>3</v>
      </c>
      <c r="N429" s="21">
        <v>3</v>
      </c>
      <c r="O429" s="15">
        <v>3</v>
      </c>
      <c r="P429" s="15">
        <v>3</v>
      </c>
      <c r="Q429" s="21">
        <v>4</v>
      </c>
      <c r="R429" s="15">
        <f t="shared" si="24"/>
        <v>3.3333333333333335</v>
      </c>
      <c r="S429" s="15">
        <f t="shared" si="25"/>
        <v>3</v>
      </c>
      <c r="T429" s="15">
        <f t="shared" si="26"/>
        <v>2.6666666666666665</v>
      </c>
      <c r="U429" s="15">
        <f t="shared" si="27"/>
        <v>3.3333333333333335</v>
      </c>
    </row>
    <row r="430" spans="1:21" ht="54" x14ac:dyDescent="0.3">
      <c r="A430" s="15">
        <v>6040</v>
      </c>
      <c r="B430" s="15">
        <v>11325</v>
      </c>
      <c r="C430" s="15">
        <v>1</v>
      </c>
      <c r="D430" s="15" t="s">
        <v>4</v>
      </c>
      <c r="E430" s="20" t="s">
        <v>447</v>
      </c>
      <c r="F430" s="15">
        <v>4</v>
      </c>
      <c r="G430" s="15">
        <v>3</v>
      </c>
      <c r="H430" s="21">
        <v>4</v>
      </c>
      <c r="I430" s="15">
        <v>3</v>
      </c>
      <c r="J430" s="15">
        <v>3</v>
      </c>
      <c r="K430" s="21">
        <v>3</v>
      </c>
      <c r="L430" s="15">
        <v>2</v>
      </c>
      <c r="M430" s="15">
        <v>3</v>
      </c>
      <c r="N430" s="21">
        <v>3</v>
      </c>
      <c r="O430" s="15">
        <v>4</v>
      </c>
      <c r="P430" s="15">
        <v>3</v>
      </c>
      <c r="Q430" s="21">
        <v>4</v>
      </c>
      <c r="R430" s="15">
        <f t="shared" si="24"/>
        <v>3.6666666666666665</v>
      </c>
      <c r="S430" s="15">
        <f t="shared" si="25"/>
        <v>3</v>
      </c>
      <c r="T430" s="15">
        <f t="shared" si="26"/>
        <v>2.6666666666666665</v>
      </c>
      <c r="U430" s="15">
        <f t="shared" si="27"/>
        <v>3.6666666666666665</v>
      </c>
    </row>
    <row r="431" spans="1:21" ht="67.5" x14ac:dyDescent="0.3">
      <c r="A431" s="15">
        <v>15825</v>
      </c>
      <c r="B431" s="15">
        <v>14070</v>
      </c>
      <c r="C431" s="15">
        <v>1</v>
      </c>
      <c r="D431" s="15" t="s">
        <v>11</v>
      </c>
      <c r="E431" s="20" t="s">
        <v>448</v>
      </c>
      <c r="F431" s="15">
        <v>4</v>
      </c>
      <c r="G431" s="15">
        <v>3</v>
      </c>
      <c r="H431" s="21">
        <v>4</v>
      </c>
      <c r="I431" s="15">
        <v>4</v>
      </c>
      <c r="J431" s="15">
        <v>3</v>
      </c>
      <c r="K431" s="21">
        <v>5</v>
      </c>
      <c r="L431" s="15">
        <v>2</v>
      </c>
      <c r="M431" s="15">
        <v>3</v>
      </c>
      <c r="N431" s="21">
        <v>3</v>
      </c>
      <c r="O431" s="15">
        <v>4</v>
      </c>
      <c r="P431" s="15">
        <v>2</v>
      </c>
      <c r="Q431" s="21">
        <v>4</v>
      </c>
      <c r="R431" s="15">
        <f t="shared" si="24"/>
        <v>3.6666666666666665</v>
      </c>
      <c r="S431" s="15">
        <f t="shared" si="25"/>
        <v>4</v>
      </c>
      <c r="T431" s="15">
        <f t="shared" si="26"/>
        <v>2.6666666666666665</v>
      </c>
      <c r="U431" s="15">
        <f t="shared" si="27"/>
        <v>3.3333333333333335</v>
      </c>
    </row>
    <row r="432" spans="1:21" ht="40.5" x14ac:dyDescent="0.3">
      <c r="A432" s="15">
        <v>13294</v>
      </c>
      <c r="B432" s="15">
        <v>10842</v>
      </c>
      <c r="C432" s="15">
        <v>1</v>
      </c>
      <c r="D432" s="15" t="s">
        <v>32</v>
      </c>
      <c r="E432" s="20" t="s">
        <v>449</v>
      </c>
      <c r="F432" s="15">
        <v>3</v>
      </c>
      <c r="G432" s="15">
        <v>2</v>
      </c>
      <c r="H432" s="21">
        <v>3</v>
      </c>
      <c r="I432" s="15">
        <v>3</v>
      </c>
      <c r="J432" s="15">
        <v>3</v>
      </c>
      <c r="K432" s="21">
        <v>3</v>
      </c>
      <c r="L432" s="15">
        <v>2</v>
      </c>
      <c r="M432" s="15">
        <v>3</v>
      </c>
      <c r="N432" s="21">
        <v>2</v>
      </c>
      <c r="O432" s="15">
        <v>3</v>
      </c>
      <c r="P432" s="15">
        <v>3</v>
      </c>
      <c r="Q432" s="21">
        <v>3</v>
      </c>
      <c r="R432" s="15">
        <f t="shared" si="24"/>
        <v>2.6666666666666665</v>
      </c>
      <c r="S432" s="15">
        <f t="shared" si="25"/>
        <v>3</v>
      </c>
      <c r="T432" s="15">
        <f t="shared" si="26"/>
        <v>2.3333333333333335</v>
      </c>
      <c r="U432" s="15">
        <f t="shared" si="27"/>
        <v>3</v>
      </c>
    </row>
    <row r="433" spans="1:21" ht="27" x14ac:dyDescent="0.3">
      <c r="A433" s="15">
        <v>2792</v>
      </c>
      <c r="B433" s="15">
        <v>10322</v>
      </c>
      <c r="C433" s="15">
        <v>1</v>
      </c>
      <c r="D433" s="15" t="s">
        <v>4</v>
      </c>
      <c r="E433" s="20" t="s">
        <v>450</v>
      </c>
      <c r="F433" s="15">
        <v>3</v>
      </c>
      <c r="G433" s="15">
        <v>2</v>
      </c>
      <c r="H433" s="21">
        <v>3</v>
      </c>
      <c r="I433" s="15">
        <v>3</v>
      </c>
      <c r="J433" s="15">
        <v>3</v>
      </c>
      <c r="K433" s="21">
        <v>3</v>
      </c>
      <c r="L433" s="15">
        <v>2</v>
      </c>
      <c r="M433" s="15">
        <v>3</v>
      </c>
      <c r="N433" s="21">
        <v>1</v>
      </c>
      <c r="O433" s="15">
        <v>4</v>
      </c>
      <c r="P433" s="15">
        <v>2</v>
      </c>
      <c r="Q433" s="21">
        <v>3</v>
      </c>
      <c r="R433" s="15">
        <f t="shared" si="24"/>
        <v>2.6666666666666665</v>
      </c>
      <c r="S433" s="15">
        <f t="shared" si="25"/>
        <v>3</v>
      </c>
      <c r="T433" s="15">
        <f t="shared" si="26"/>
        <v>2</v>
      </c>
      <c r="U433" s="15">
        <f t="shared" si="27"/>
        <v>3</v>
      </c>
    </row>
    <row r="434" spans="1:21" ht="27" x14ac:dyDescent="0.3">
      <c r="A434" s="15">
        <v>13770</v>
      </c>
      <c r="B434" s="15">
        <v>10912</v>
      </c>
      <c r="C434" s="15">
        <v>1</v>
      </c>
      <c r="D434" s="15" t="s">
        <v>231</v>
      </c>
      <c r="E434" s="20" t="s">
        <v>451</v>
      </c>
      <c r="F434" s="15">
        <v>3</v>
      </c>
      <c r="G434" s="15">
        <v>3</v>
      </c>
      <c r="H434" s="21">
        <v>3</v>
      </c>
      <c r="I434" s="15">
        <v>3</v>
      </c>
      <c r="J434" s="15">
        <v>3</v>
      </c>
      <c r="K434" s="21">
        <v>3</v>
      </c>
      <c r="L434" s="15">
        <v>2</v>
      </c>
      <c r="M434" s="15">
        <v>3</v>
      </c>
      <c r="N434" s="21">
        <v>1</v>
      </c>
      <c r="O434" s="15">
        <v>3</v>
      </c>
      <c r="P434" s="15">
        <v>3</v>
      </c>
      <c r="Q434" s="21">
        <v>3</v>
      </c>
      <c r="R434" s="15">
        <f t="shared" si="24"/>
        <v>3</v>
      </c>
      <c r="S434" s="15">
        <f t="shared" si="25"/>
        <v>3</v>
      </c>
      <c r="T434" s="15">
        <f t="shared" si="26"/>
        <v>2</v>
      </c>
      <c r="U434" s="15">
        <f t="shared" si="27"/>
        <v>3</v>
      </c>
    </row>
    <row r="435" spans="1:21" ht="54" x14ac:dyDescent="0.3">
      <c r="A435" s="15">
        <v>5715</v>
      </c>
      <c r="B435" s="15">
        <v>10754</v>
      </c>
      <c r="C435" s="15">
        <v>1</v>
      </c>
      <c r="D435" s="15" t="s">
        <v>4</v>
      </c>
      <c r="E435" s="20" t="s">
        <v>452</v>
      </c>
      <c r="F435" s="15">
        <v>3</v>
      </c>
      <c r="G435" s="15">
        <v>3</v>
      </c>
      <c r="H435" s="21">
        <v>3</v>
      </c>
      <c r="I435" s="15">
        <v>3</v>
      </c>
      <c r="J435" s="15">
        <v>3</v>
      </c>
      <c r="K435" s="21">
        <v>3</v>
      </c>
      <c r="L435" s="15">
        <v>2</v>
      </c>
      <c r="M435" s="15">
        <v>3</v>
      </c>
      <c r="N435" s="21">
        <v>3</v>
      </c>
      <c r="O435" s="15">
        <v>4</v>
      </c>
      <c r="P435" s="15">
        <v>3</v>
      </c>
      <c r="Q435" s="21">
        <v>3</v>
      </c>
      <c r="R435" s="15">
        <f t="shared" si="24"/>
        <v>3</v>
      </c>
      <c r="S435" s="15">
        <f t="shared" si="25"/>
        <v>3</v>
      </c>
      <c r="T435" s="15">
        <f t="shared" si="26"/>
        <v>2.6666666666666665</v>
      </c>
      <c r="U435" s="15">
        <f t="shared" si="27"/>
        <v>3.3333333333333335</v>
      </c>
    </row>
    <row r="436" spans="1:21" ht="81" x14ac:dyDescent="0.3">
      <c r="A436" s="15">
        <v>5093</v>
      </c>
      <c r="B436" s="15">
        <v>10578</v>
      </c>
      <c r="C436" s="15">
        <v>1</v>
      </c>
      <c r="D436" s="15" t="s">
        <v>4</v>
      </c>
      <c r="E436" s="20" t="s">
        <v>453</v>
      </c>
      <c r="F436" s="15">
        <v>3</v>
      </c>
      <c r="G436" s="15">
        <v>3</v>
      </c>
      <c r="H436" s="21">
        <v>4</v>
      </c>
      <c r="I436" s="15">
        <v>3</v>
      </c>
      <c r="J436" s="15">
        <v>3</v>
      </c>
      <c r="K436" s="21">
        <v>3</v>
      </c>
      <c r="L436" s="15">
        <v>2</v>
      </c>
      <c r="M436" s="15">
        <v>3</v>
      </c>
      <c r="N436" s="21">
        <v>3</v>
      </c>
      <c r="O436" s="15">
        <v>3</v>
      </c>
      <c r="P436" s="15">
        <v>3</v>
      </c>
      <c r="Q436" s="21">
        <v>5</v>
      </c>
      <c r="R436" s="15">
        <f t="shared" si="24"/>
        <v>3.3333333333333335</v>
      </c>
      <c r="S436" s="15">
        <f t="shared" si="25"/>
        <v>3</v>
      </c>
      <c r="T436" s="15">
        <f t="shared" si="26"/>
        <v>2.6666666666666665</v>
      </c>
      <c r="U436" s="15">
        <f t="shared" si="27"/>
        <v>3.6666666666666665</v>
      </c>
    </row>
    <row r="437" spans="1:21" ht="67.5" x14ac:dyDescent="0.3">
      <c r="A437" s="15">
        <v>7302</v>
      </c>
      <c r="B437" s="15">
        <v>14577</v>
      </c>
      <c r="C437" s="15">
        <v>1</v>
      </c>
      <c r="D437" s="15" t="s">
        <v>4</v>
      </c>
      <c r="E437" s="20" t="s">
        <v>454</v>
      </c>
      <c r="F437" s="15">
        <v>4</v>
      </c>
      <c r="G437" s="15">
        <v>3</v>
      </c>
      <c r="H437" s="21">
        <v>4</v>
      </c>
      <c r="I437" s="15">
        <v>3</v>
      </c>
      <c r="J437" s="15">
        <v>3</v>
      </c>
      <c r="K437" s="21">
        <v>3</v>
      </c>
      <c r="L437" s="15">
        <v>2</v>
      </c>
      <c r="M437" s="15">
        <v>3</v>
      </c>
      <c r="N437" s="21">
        <v>3</v>
      </c>
      <c r="O437" s="15">
        <v>4</v>
      </c>
      <c r="P437" s="15">
        <v>3</v>
      </c>
      <c r="Q437" s="21">
        <v>4</v>
      </c>
      <c r="R437" s="15">
        <f t="shared" si="24"/>
        <v>3.6666666666666665</v>
      </c>
      <c r="S437" s="15">
        <f t="shared" si="25"/>
        <v>3</v>
      </c>
      <c r="T437" s="15">
        <f t="shared" si="26"/>
        <v>2.6666666666666665</v>
      </c>
      <c r="U437" s="15">
        <f t="shared" si="27"/>
        <v>3.6666666666666665</v>
      </c>
    </row>
    <row r="438" spans="1:21" ht="54" x14ac:dyDescent="0.3">
      <c r="A438" s="15">
        <v>13347</v>
      </c>
      <c r="B438" s="15">
        <v>10171</v>
      </c>
      <c r="C438" s="15">
        <v>1</v>
      </c>
      <c r="D438" s="15" t="s">
        <v>4</v>
      </c>
      <c r="E438" s="20" t="s">
        <v>455</v>
      </c>
      <c r="F438" s="15">
        <v>4</v>
      </c>
      <c r="G438" s="15">
        <v>3</v>
      </c>
      <c r="H438" s="21">
        <v>4</v>
      </c>
      <c r="I438" s="15">
        <v>3</v>
      </c>
      <c r="J438" s="15">
        <v>3</v>
      </c>
      <c r="K438" s="21">
        <v>3</v>
      </c>
      <c r="L438" s="15">
        <v>2</v>
      </c>
      <c r="M438" s="15">
        <v>3</v>
      </c>
      <c r="N438" s="21">
        <v>3</v>
      </c>
      <c r="O438" s="15">
        <v>4</v>
      </c>
      <c r="P438" s="15">
        <v>3</v>
      </c>
      <c r="Q438" s="21">
        <v>4</v>
      </c>
      <c r="R438" s="15">
        <f t="shared" si="24"/>
        <v>3.6666666666666665</v>
      </c>
      <c r="S438" s="15">
        <f t="shared" si="25"/>
        <v>3</v>
      </c>
      <c r="T438" s="15">
        <f t="shared" si="26"/>
        <v>2.6666666666666665</v>
      </c>
      <c r="U438" s="15">
        <f t="shared" si="27"/>
        <v>3.6666666666666665</v>
      </c>
    </row>
    <row r="439" spans="1:21" ht="67.5" x14ac:dyDescent="0.3">
      <c r="A439" s="15">
        <v>10243</v>
      </c>
      <c r="B439" s="15">
        <v>10363</v>
      </c>
      <c r="C439" s="15">
        <v>1</v>
      </c>
      <c r="D439" s="15" t="s">
        <v>4</v>
      </c>
      <c r="E439" s="20" t="s">
        <v>456</v>
      </c>
      <c r="F439" s="15">
        <v>4</v>
      </c>
      <c r="G439" s="15">
        <v>3</v>
      </c>
      <c r="H439" s="21">
        <v>3</v>
      </c>
      <c r="I439" s="15">
        <v>3</v>
      </c>
      <c r="J439" s="15">
        <v>3</v>
      </c>
      <c r="K439" s="21">
        <v>3</v>
      </c>
      <c r="L439" s="15">
        <v>2</v>
      </c>
      <c r="M439" s="15">
        <v>3</v>
      </c>
      <c r="N439" s="21">
        <v>3</v>
      </c>
      <c r="O439" s="15">
        <v>3</v>
      </c>
      <c r="P439" s="15">
        <v>3</v>
      </c>
      <c r="Q439" s="21">
        <v>3</v>
      </c>
      <c r="R439" s="15">
        <f t="shared" si="24"/>
        <v>3.3333333333333335</v>
      </c>
      <c r="S439" s="15">
        <f t="shared" si="25"/>
        <v>3</v>
      </c>
      <c r="T439" s="15">
        <f t="shared" si="26"/>
        <v>2.6666666666666665</v>
      </c>
      <c r="U439" s="15">
        <f t="shared" si="27"/>
        <v>3</v>
      </c>
    </row>
    <row r="440" spans="1:21" ht="40.5" x14ac:dyDescent="0.3">
      <c r="A440" s="15">
        <v>1027</v>
      </c>
      <c r="B440" s="15">
        <v>10057</v>
      </c>
      <c r="C440" s="15">
        <v>1</v>
      </c>
      <c r="D440" s="15" t="s">
        <v>4</v>
      </c>
      <c r="E440" s="20" t="s">
        <v>457</v>
      </c>
      <c r="F440" s="15">
        <v>3</v>
      </c>
      <c r="G440" s="15">
        <v>3</v>
      </c>
      <c r="H440" s="21">
        <v>4</v>
      </c>
      <c r="I440" s="15">
        <v>3</v>
      </c>
      <c r="J440" s="15">
        <v>3</v>
      </c>
      <c r="K440" s="21">
        <v>3</v>
      </c>
      <c r="L440" s="15">
        <v>2</v>
      </c>
      <c r="M440" s="15">
        <v>3</v>
      </c>
      <c r="N440" s="21">
        <v>3</v>
      </c>
      <c r="O440" s="15">
        <v>4</v>
      </c>
      <c r="P440" s="15">
        <v>3</v>
      </c>
      <c r="Q440" s="21">
        <v>4</v>
      </c>
      <c r="R440" s="15">
        <f t="shared" si="24"/>
        <v>3.3333333333333335</v>
      </c>
      <c r="S440" s="15">
        <f t="shared" si="25"/>
        <v>3</v>
      </c>
      <c r="T440" s="15">
        <f t="shared" si="26"/>
        <v>2.6666666666666665</v>
      </c>
      <c r="U440" s="15">
        <f t="shared" si="27"/>
        <v>3.6666666666666665</v>
      </c>
    </row>
    <row r="441" spans="1:21" ht="67.5" x14ac:dyDescent="0.3">
      <c r="A441" s="15">
        <v>7429</v>
      </c>
      <c r="B441" s="15">
        <v>11244</v>
      </c>
      <c r="C441" s="15">
        <v>1</v>
      </c>
      <c r="D441" s="15" t="s">
        <v>4</v>
      </c>
      <c r="E441" s="20" t="s">
        <v>458</v>
      </c>
      <c r="F441" s="15">
        <v>4</v>
      </c>
      <c r="G441" s="15">
        <v>3</v>
      </c>
      <c r="H441" s="21">
        <v>4</v>
      </c>
      <c r="I441" s="15">
        <v>3</v>
      </c>
      <c r="J441" s="15">
        <v>3</v>
      </c>
      <c r="K441" s="21">
        <v>3</v>
      </c>
      <c r="L441" s="15">
        <v>2</v>
      </c>
      <c r="M441" s="15">
        <v>3</v>
      </c>
      <c r="N441" s="21">
        <v>3</v>
      </c>
      <c r="O441" s="15">
        <v>4</v>
      </c>
      <c r="P441" s="15">
        <v>3</v>
      </c>
      <c r="Q441" s="21">
        <v>4</v>
      </c>
      <c r="R441" s="15">
        <f t="shared" si="24"/>
        <v>3.6666666666666665</v>
      </c>
      <c r="S441" s="15">
        <f t="shared" si="25"/>
        <v>3</v>
      </c>
      <c r="T441" s="15">
        <f t="shared" si="26"/>
        <v>2.6666666666666665</v>
      </c>
      <c r="U441" s="15">
        <f t="shared" si="27"/>
        <v>3.6666666666666665</v>
      </c>
    </row>
    <row r="442" spans="1:21" ht="27" x14ac:dyDescent="0.3">
      <c r="A442" s="15">
        <v>14404</v>
      </c>
      <c r="B442" s="15">
        <v>11268</v>
      </c>
      <c r="C442" s="15">
        <v>1</v>
      </c>
      <c r="D442" s="15" t="s">
        <v>4</v>
      </c>
      <c r="E442" s="20" t="s">
        <v>459</v>
      </c>
      <c r="F442" s="15">
        <v>3</v>
      </c>
      <c r="G442" s="15">
        <v>3</v>
      </c>
      <c r="H442" s="21">
        <v>3</v>
      </c>
      <c r="I442" s="15">
        <v>3</v>
      </c>
      <c r="J442" s="15">
        <v>3</v>
      </c>
      <c r="K442" s="21">
        <v>3</v>
      </c>
      <c r="L442" s="15">
        <v>2</v>
      </c>
      <c r="M442" s="15">
        <v>3</v>
      </c>
      <c r="N442" s="21">
        <v>1</v>
      </c>
      <c r="O442" s="15">
        <v>4</v>
      </c>
      <c r="P442" s="15">
        <v>3</v>
      </c>
      <c r="Q442" s="21">
        <v>3</v>
      </c>
      <c r="R442" s="15">
        <f t="shared" si="24"/>
        <v>3</v>
      </c>
      <c r="S442" s="15">
        <f t="shared" si="25"/>
        <v>3</v>
      </c>
      <c r="T442" s="15">
        <f t="shared" si="26"/>
        <v>2</v>
      </c>
      <c r="U442" s="15">
        <f t="shared" si="27"/>
        <v>3.3333333333333335</v>
      </c>
    </row>
    <row r="443" spans="1:21" ht="81" x14ac:dyDescent="0.3">
      <c r="A443" s="15">
        <v>10493</v>
      </c>
      <c r="B443" s="15">
        <v>10159</v>
      </c>
      <c r="C443" s="15">
        <v>1</v>
      </c>
      <c r="D443" s="15" t="s">
        <v>4</v>
      </c>
      <c r="E443" s="20" t="s">
        <v>460</v>
      </c>
      <c r="F443" s="15">
        <v>4</v>
      </c>
      <c r="G443" s="15">
        <v>3</v>
      </c>
      <c r="H443" s="21">
        <v>4</v>
      </c>
      <c r="I443" s="15">
        <v>4</v>
      </c>
      <c r="J443" s="15">
        <v>3</v>
      </c>
      <c r="K443" s="21">
        <v>3</v>
      </c>
      <c r="L443" s="15">
        <v>2</v>
      </c>
      <c r="M443" s="15">
        <v>3</v>
      </c>
      <c r="N443" s="21">
        <v>3</v>
      </c>
      <c r="O443" s="15">
        <v>4</v>
      </c>
      <c r="P443" s="15">
        <v>3</v>
      </c>
      <c r="Q443" s="21">
        <v>4</v>
      </c>
      <c r="R443" s="15">
        <f t="shared" si="24"/>
        <v>3.6666666666666665</v>
      </c>
      <c r="S443" s="15">
        <f t="shared" si="25"/>
        <v>3.3333333333333335</v>
      </c>
      <c r="T443" s="15">
        <f t="shared" si="26"/>
        <v>2.6666666666666665</v>
      </c>
      <c r="U443" s="15">
        <f t="shared" si="27"/>
        <v>3.6666666666666665</v>
      </c>
    </row>
    <row r="444" spans="1:21" ht="54" x14ac:dyDescent="0.3">
      <c r="A444" s="15">
        <v>14777</v>
      </c>
      <c r="B444" s="15">
        <v>14251</v>
      </c>
      <c r="C444" s="15">
        <v>1</v>
      </c>
      <c r="D444" s="15" t="s">
        <v>4</v>
      </c>
      <c r="E444" s="20" t="s">
        <v>461</v>
      </c>
      <c r="F444" s="15">
        <v>3</v>
      </c>
      <c r="G444" s="15">
        <v>2</v>
      </c>
      <c r="H444" s="21">
        <v>4</v>
      </c>
      <c r="I444" s="15">
        <v>4</v>
      </c>
      <c r="J444" s="15">
        <v>3</v>
      </c>
      <c r="K444" s="21">
        <v>3</v>
      </c>
      <c r="L444" s="15">
        <v>2</v>
      </c>
      <c r="M444" s="15">
        <v>1</v>
      </c>
      <c r="N444" s="21">
        <v>3</v>
      </c>
      <c r="O444" s="15">
        <v>4</v>
      </c>
      <c r="P444" s="15">
        <v>3</v>
      </c>
      <c r="Q444" s="21">
        <v>4</v>
      </c>
      <c r="R444" s="15">
        <f t="shared" si="24"/>
        <v>3</v>
      </c>
      <c r="S444" s="15">
        <f t="shared" si="25"/>
        <v>3.3333333333333335</v>
      </c>
      <c r="T444" s="15">
        <f t="shared" si="26"/>
        <v>2</v>
      </c>
      <c r="U444" s="15">
        <f t="shared" si="27"/>
        <v>3.6666666666666665</v>
      </c>
    </row>
    <row r="445" spans="1:21" ht="40.5" x14ac:dyDescent="0.3">
      <c r="A445" s="15">
        <v>4122</v>
      </c>
      <c r="B445" s="15">
        <v>15233</v>
      </c>
      <c r="C445" s="15">
        <v>1</v>
      </c>
      <c r="D445" s="15" t="s">
        <v>4</v>
      </c>
      <c r="E445" s="20" t="s">
        <v>462</v>
      </c>
      <c r="F445" s="15">
        <v>3</v>
      </c>
      <c r="G445" s="15">
        <v>3</v>
      </c>
      <c r="H445" s="21">
        <v>3</v>
      </c>
      <c r="I445" s="15">
        <v>3</v>
      </c>
      <c r="J445" s="15">
        <v>1</v>
      </c>
      <c r="K445" s="21">
        <v>3</v>
      </c>
      <c r="L445" s="15">
        <v>2</v>
      </c>
      <c r="M445" s="15">
        <v>3</v>
      </c>
      <c r="N445" s="21">
        <v>3</v>
      </c>
      <c r="O445" s="15">
        <v>3</v>
      </c>
      <c r="P445" s="15">
        <v>3</v>
      </c>
      <c r="Q445" s="21">
        <v>3</v>
      </c>
      <c r="R445" s="15">
        <f t="shared" si="24"/>
        <v>3</v>
      </c>
      <c r="S445" s="15">
        <f t="shared" si="25"/>
        <v>2.3333333333333335</v>
      </c>
      <c r="T445" s="15">
        <f t="shared" si="26"/>
        <v>2.6666666666666665</v>
      </c>
      <c r="U445" s="15">
        <f t="shared" si="27"/>
        <v>3</v>
      </c>
    </row>
    <row r="446" spans="1:21" ht="54" x14ac:dyDescent="0.3">
      <c r="A446" s="15">
        <v>1061</v>
      </c>
      <c r="B446" s="15">
        <v>13197</v>
      </c>
      <c r="C446" s="15">
        <v>1</v>
      </c>
      <c r="D446" s="15" t="s">
        <v>11</v>
      </c>
      <c r="E446" s="20" t="s">
        <v>463</v>
      </c>
      <c r="F446" s="15">
        <v>4</v>
      </c>
      <c r="G446" s="15">
        <v>3</v>
      </c>
      <c r="H446" s="21">
        <v>3</v>
      </c>
      <c r="I446" s="15">
        <v>3</v>
      </c>
      <c r="J446" s="15">
        <v>1</v>
      </c>
      <c r="K446" s="21">
        <v>3</v>
      </c>
      <c r="L446" s="15">
        <v>2</v>
      </c>
      <c r="M446" s="15">
        <v>1</v>
      </c>
      <c r="N446" s="21">
        <v>2</v>
      </c>
      <c r="O446" s="15">
        <v>4</v>
      </c>
      <c r="P446" s="15">
        <v>3</v>
      </c>
      <c r="Q446" s="21">
        <v>3</v>
      </c>
      <c r="R446" s="15">
        <f t="shared" si="24"/>
        <v>3.3333333333333335</v>
      </c>
      <c r="S446" s="15">
        <f t="shared" si="25"/>
        <v>2.3333333333333335</v>
      </c>
      <c r="T446" s="15">
        <f t="shared" si="26"/>
        <v>1.6666666666666667</v>
      </c>
      <c r="U446" s="15">
        <f t="shared" si="27"/>
        <v>3.3333333333333335</v>
      </c>
    </row>
    <row r="447" spans="1:21" ht="40.5" x14ac:dyDescent="0.3">
      <c r="A447" s="15">
        <v>808</v>
      </c>
      <c r="B447" s="15">
        <v>11386</v>
      </c>
      <c r="C447" s="15">
        <v>1</v>
      </c>
      <c r="D447" s="15" t="s">
        <v>4</v>
      </c>
      <c r="E447" s="20" t="s">
        <v>464</v>
      </c>
      <c r="F447" s="15">
        <v>4</v>
      </c>
      <c r="G447" s="15">
        <v>3</v>
      </c>
      <c r="H447" s="21">
        <v>4</v>
      </c>
      <c r="I447" s="15">
        <v>3</v>
      </c>
      <c r="J447" s="15">
        <v>1</v>
      </c>
      <c r="K447" s="21">
        <v>3</v>
      </c>
      <c r="L447" s="15">
        <v>2</v>
      </c>
      <c r="M447" s="15">
        <v>1</v>
      </c>
      <c r="N447" s="21">
        <v>3</v>
      </c>
      <c r="O447" s="15">
        <v>4</v>
      </c>
      <c r="P447" s="15">
        <v>3</v>
      </c>
      <c r="Q447" s="21">
        <v>4</v>
      </c>
      <c r="R447" s="15">
        <f t="shared" si="24"/>
        <v>3.6666666666666665</v>
      </c>
      <c r="S447" s="15">
        <f t="shared" si="25"/>
        <v>2.3333333333333335</v>
      </c>
      <c r="T447" s="15">
        <f t="shared" si="26"/>
        <v>2</v>
      </c>
      <c r="U447" s="15">
        <f t="shared" si="27"/>
        <v>3.6666666666666665</v>
      </c>
    </row>
    <row r="448" spans="1:21" x14ac:dyDescent="0.3">
      <c r="A448" s="15">
        <v>11247</v>
      </c>
      <c r="B448" s="15">
        <v>10576</v>
      </c>
      <c r="C448" s="15">
        <v>1</v>
      </c>
      <c r="D448" s="15" t="s">
        <v>4</v>
      </c>
      <c r="E448" s="20" t="s">
        <v>465</v>
      </c>
      <c r="F448" s="15">
        <v>3</v>
      </c>
      <c r="G448" s="15">
        <v>2</v>
      </c>
      <c r="H448" s="21">
        <v>3</v>
      </c>
      <c r="I448" s="15">
        <v>1</v>
      </c>
      <c r="J448" s="15">
        <v>1</v>
      </c>
      <c r="K448" s="21">
        <v>1</v>
      </c>
      <c r="L448" s="15">
        <v>2</v>
      </c>
      <c r="M448" s="15">
        <v>1</v>
      </c>
      <c r="N448" s="21">
        <v>3</v>
      </c>
      <c r="O448" s="15">
        <v>4</v>
      </c>
      <c r="P448" s="15">
        <v>2</v>
      </c>
      <c r="Q448" s="21">
        <v>3</v>
      </c>
      <c r="R448" s="15">
        <f t="shared" si="24"/>
        <v>2.6666666666666665</v>
      </c>
      <c r="S448" s="15">
        <f t="shared" si="25"/>
        <v>1</v>
      </c>
      <c r="T448" s="15">
        <f t="shared" si="26"/>
        <v>2</v>
      </c>
      <c r="U448" s="15">
        <f t="shared" si="27"/>
        <v>3</v>
      </c>
    </row>
    <row r="449" spans="1:21" ht="40.5" x14ac:dyDescent="0.3">
      <c r="A449" s="15">
        <v>12556</v>
      </c>
      <c r="B449" s="15">
        <v>12658</v>
      </c>
      <c r="C449" s="15">
        <v>1</v>
      </c>
      <c r="D449" s="15" t="s">
        <v>4</v>
      </c>
      <c r="E449" s="20" t="s">
        <v>466</v>
      </c>
      <c r="F449" s="15">
        <v>3</v>
      </c>
      <c r="G449" s="15">
        <v>3</v>
      </c>
      <c r="H449" s="21">
        <v>3</v>
      </c>
      <c r="I449" s="15">
        <v>3</v>
      </c>
      <c r="J449" s="15">
        <v>1</v>
      </c>
      <c r="K449" s="21">
        <v>1</v>
      </c>
      <c r="L449" s="15">
        <v>2</v>
      </c>
      <c r="M449" s="15">
        <v>1</v>
      </c>
      <c r="N449" s="21">
        <v>3</v>
      </c>
      <c r="O449" s="15">
        <v>4</v>
      </c>
      <c r="P449" s="15">
        <v>2</v>
      </c>
      <c r="Q449" s="21">
        <v>3</v>
      </c>
      <c r="R449" s="15">
        <f t="shared" si="24"/>
        <v>3</v>
      </c>
      <c r="S449" s="15">
        <f t="shared" si="25"/>
        <v>1.6666666666666667</v>
      </c>
      <c r="T449" s="15">
        <f t="shared" si="26"/>
        <v>2</v>
      </c>
      <c r="U449" s="15">
        <f t="shared" si="27"/>
        <v>3</v>
      </c>
    </row>
    <row r="450" spans="1:21" ht="81" x14ac:dyDescent="0.3">
      <c r="A450" s="15">
        <v>4444</v>
      </c>
      <c r="B450" s="15">
        <v>12631</v>
      </c>
      <c r="C450" s="15">
        <v>1</v>
      </c>
      <c r="D450" s="15" t="s">
        <v>467</v>
      </c>
      <c r="E450" s="20" t="s">
        <v>468</v>
      </c>
      <c r="F450" s="15">
        <v>4</v>
      </c>
      <c r="G450" s="15">
        <v>3</v>
      </c>
      <c r="H450" s="21">
        <v>5</v>
      </c>
      <c r="I450" s="15">
        <v>3</v>
      </c>
      <c r="J450" s="15">
        <v>3</v>
      </c>
      <c r="K450" s="21">
        <v>3</v>
      </c>
      <c r="L450" s="15">
        <v>2</v>
      </c>
      <c r="M450" s="15">
        <v>3</v>
      </c>
      <c r="N450" s="21">
        <v>3</v>
      </c>
      <c r="O450" s="15">
        <v>5</v>
      </c>
      <c r="P450" s="15">
        <v>3</v>
      </c>
      <c r="Q450" s="21">
        <v>5</v>
      </c>
      <c r="R450" s="15">
        <f t="shared" si="24"/>
        <v>4</v>
      </c>
      <c r="S450" s="15">
        <f t="shared" si="25"/>
        <v>3</v>
      </c>
      <c r="T450" s="15">
        <f t="shared" si="26"/>
        <v>2.6666666666666665</v>
      </c>
      <c r="U450" s="15">
        <f t="shared" si="27"/>
        <v>4.333333333333333</v>
      </c>
    </row>
    <row r="451" spans="1:21" ht="27" x14ac:dyDescent="0.3">
      <c r="A451" s="15">
        <v>10224</v>
      </c>
      <c r="B451" s="15">
        <v>10207</v>
      </c>
      <c r="C451" s="15">
        <v>1</v>
      </c>
      <c r="D451" s="15" t="s">
        <v>4</v>
      </c>
      <c r="E451" s="20" t="s">
        <v>469</v>
      </c>
      <c r="F451" s="15">
        <v>3</v>
      </c>
      <c r="G451" s="15">
        <v>2</v>
      </c>
      <c r="H451" s="21">
        <v>3</v>
      </c>
      <c r="I451" s="15">
        <v>3</v>
      </c>
      <c r="J451" s="15">
        <v>3</v>
      </c>
      <c r="K451" s="21">
        <v>3</v>
      </c>
      <c r="L451" s="15">
        <v>2</v>
      </c>
      <c r="M451" s="15">
        <v>3</v>
      </c>
      <c r="N451" s="21">
        <v>2</v>
      </c>
      <c r="O451" s="15">
        <v>3</v>
      </c>
      <c r="P451" s="15">
        <v>2</v>
      </c>
      <c r="Q451" s="21">
        <v>2</v>
      </c>
      <c r="R451" s="15">
        <f t="shared" ref="R451:R514" si="28">AVERAGE(F451:H451)</f>
        <v>2.6666666666666665</v>
      </c>
      <c r="S451" s="15">
        <f t="shared" ref="S451:S514" si="29">AVERAGE(I451:K451)</f>
        <v>3</v>
      </c>
      <c r="T451" s="15">
        <f t="shared" ref="T451:T514" si="30">AVERAGE(L451:N451)</f>
        <v>2.3333333333333335</v>
      </c>
      <c r="U451" s="15">
        <f t="shared" ref="U451:U514" si="31">AVERAGE(O451:Q451)</f>
        <v>2.3333333333333335</v>
      </c>
    </row>
    <row r="452" spans="1:21" ht="54" x14ac:dyDescent="0.3">
      <c r="A452" s="15">
        <v>4973</v>
      </c>
      <c r="B452" s="15">
        <v>12961</v>
      </c>
      <c r="C452" s="15">
        <v>1</v>
      </c>
      <c r="D452" s="15" t="s">
        <v>4</v>
      </c>
      <c r="E452" s="20" t="s">
        <v>470</v>
      </c>
      <c r="F452" s="15">
        <v>3</v>
      </c>
      <c r="G452" s="15">
        <v>3</v>
      </c>
      <c r="H452" s="21">
        <v>3</v>
      </c>
      <c r="I452" s="15">
        <v>3</v>
      </c>
      <c r="J452" s="15">
        <v>3</v>
      </c>
      <c r="K452" s="21">
        <v>3</v>
      </c>
      <c r="L452" s="15">
        <v>2</v>
      </c>
      <c r="M452" s="15">
        <v>1</v>
      </c>
      <c r="N452" s="21">
        <v>1</v>
      </c>
      <c r="O452" s="15">
        <v>4</v>
      </c>
      <c r="P452" s="15">
        <v>2</v>
      </c>
      <c r="Q452" s="21">
        <v>3</v>
      </c>
      <c r="R452" s="15">
        <f t="shared" si="28"/>
        <v>3</v>
      </c>
      <c r="S452" s="15">
        <f t="shared" si="29"/>
        <v>3</v>
      </c>
      <c r="T452" s="15">
        <f t="shared" si="30"/>
        <v>1.3333333333333333</v>
      </c>
      <c r="U452" s="15">
        <f t="shared" si="31"/>
        <v>3</v>
      </c>
    </row>
    <row r="453" spans="1:21" ht="40.5" x14ac:dyDescent="0.3">
      <c r="A453" s="15">
        <v>15385</v>
      </c>
      <c r="B453" s="15">
        <v>12991</v>
      </c>
      <c r="C453" s="15">
        <v>1</v>
      </c>
      <c r="D453" s="15" t="s">
        <v>4</v>
      </c>
      <c r="E453" s="20" t="s">
        <v>471</v>
      </c>
      <c r="F453" s="15">
        <v>4</v>
      </c>
      <c r="G453" s="15">
        <v>2</v>
      </c>
      <c r="H453" s="21">
        <v>3</v>
      </c>
      <c r="I453" s="15">
        <v>3</v>
      </c>
      <c r="J453" s="15">
        <v>3</v>
      </c>
      <c r="K453" s="21">
        <v>3</v>
      </c>
      <c r="L453" s="15">
        <v>2</v>
      </c>
      <c r="M453" s="15">
        <v>1</v>
      </c>
      <c r="N453" s="21">
        <v>2</v>
      </c>
      <c r="O453" s="15">
        <v>4</v>
      </c>
      <c r="P453" s="15">
        <v>2</v>
      </c>
      <c r="Q453" s="21">
        <v>3</v>
      </c>
      <c r="R453" s="15">
        <f t="shared" si="28"/>
        <v>3</v>
      </c>
      <c r="S453" s="15">
        <f t="shared" si="29"/>
        <v>3</v>
      </c>
      <c r="T453" s="15">
        <f t="shared" si="30"/>
        <v>1.6666666666666667</v>
      </c>
      <c r="U453" s="15">
        <f t="shared" si="31"/>
        <v>3</v>
      </c>
    </row>
    <row r="454" spans="1:21" ht="27" x14ac:dyDescent="0.3">
      <c r="A454" s="15">
        <v>4442</v>
      </c>
      <c r="B454" s="15">
        <v>10499</v>
      </c>
      <c r="C454" s="15">
        <v>1</v>
      </c>
      <c r="D454" s="15" t="s">
        <v>4</v>
      </c>
      <c r="E454" s="20" t="s">
        <v>472</v>
      </c>
      <c r="F454" s="15">
        <v>3</v>
      </c>
      <c r="G454" s="15">
        <v>2</v>
      </c>
      <c r="H454" s="21">
        <v>3</v>
      </c>
      <c r="I454" s="15">
        <v>3</v>
      </c>
      <c r="J454" s="15">
        <v>4</v>
      </c>
      <c r="K454" s="21">
        <v>3</v>
      </c>
      <c r="L454" s="15">
        <v>2</v>
      </c>
      <c r="M454" s="15">
        <v>1</v>
      </c>
      <c r="N454" s="21">
        <v>2</v>
      </c>
      <c r="O454" s="15">
        <v>4</v>
      </c>
      <c r="P454" s="15">
        <v>2</v>
      </c>
      <c r="Q454" s="21">
        <v>2</v>
      </c>
      <c r="R454" s="15">
        <f t="shared" si="28"/>
        <v>2.6666666666666665</v>
      </c>
      <c r="S454" s="15">
        <f t="shared" si="29"/>
        <v>3.3333333333333335</v>
      </c>
      <c r="T454" s="15">
        <f t="shared" si="30"/>
        <v>1.6666666666666667</v>
      </c>
      <c r="U454" s="15">
        <f t="shared" si="31"/>
        <v>2.6666666666666665</v>
      </c>
    </row>
    <row r="455" spans="1:21" ht="27" x14ac:dyDescent="0.3">
      <c r="A455" s="15">
        <v>6883</v>
      </c>
      <c r="B455" s="15">
        <v>12558</v>
      </c>
      <c r="C455" s="15">
        <v>1</v>
      </c>
      <c r="D455" s="15" t="s">
        <v>45</v>
      </c>
      <c r="E455" s="20" t="s">
        <v>473</v>
      </c>
      <c r="F455" s="15">
        <v>3</v>
      </c>
      <c r="G455" s="15">
        <v>2</v>
      </c>
      <c r="H455" s="21">
        <v>3</v>
      </c>
      <c r="I455" s="15">
        <v>3</v>
      </c>
      <c r="J455" s="15">
        <v>3</v>
      </c>
      <c r="K455" s="21">
        <v>3</v>
      </c>
      <c r="L455" s="15">
        <v>2</v>
      </c>
      <c r="M455" s="15">
        <v>1</v>
      </c>
      <c r="N455" s="21">
        <v>1</v>
      </c>
      <c r="O455" s="15">
        <v>3</v>
      </c>
      <c r="P455" s="15">
        <v>2</v>
      </c>
      <c r="Q455" s="21">
        <v>2</v>
      </c>
      <c r="R455" s="15">
        <f t="shared" si="28"/>
        <v>2.6666666666666665</v>
      </c>
      <c r="S455" s="15">
        <f t="shared" si="29"/>
        <v>3</v>
      </c>
      <c r="T455" s="15">
        <f t="shared" si="30"/>
        <v>1.3333333333333333</v>
      </c>
      <c r="U455" s="15">
        <f t="shared" si="31"/>
        <v>2.3333333333333335</v>
      </c>
    </row>
    <row r="456" spans="1:21" ht="54" x14ac:dyDescent="0.3">
      <c r="A456" s="15">
        <v>14996</v>
      </c>
      <c r="B456" s="15">
        <v>13929</v>
      </c>
      <c r="C456" s="15">
        <v>1</v>
      </c>
      <c r="D456" s="15" t="s">
        <v>11</v>
      </c>
      <c r="E456" s="20" t="s">
        <v>474</v>
      </c>
      <c r="F456" s="15">
        <v>3</v>
      </c>
      <c r="G456" s="15">
        <v>3</v>
      </c>
      <c r="H456" s="21">
        <v>3</v>
      </c>
      <c r="I456" s="15">
        <v>3</v>
      </c>
      <c r="J456" s="15">
        <v>3</v>
      </c>
      <c r="K456" s="21">
        <v>3</v>
      </c>
      <c r="L456" s="15">
        <v>2</v>
      </c>
      <c r="M456" s="15">
        <v>3</v>
      </c>
      <c r="N456" s="21">
        <v>2</v>
      </c>
      <c r="O456" s="15">
        <v>4</v>
      </c>
      <c r="P456" s="15">
        <v>3</v>
      </c>
      <c r="Q456" s="21">
        <v>2</v>
      </c>
      <c r="R456" s="15">
        <f t="shared" si="28"/>
        <v>3</v>
      </c>
      <c r="S456" s="15">
        <f t="shared" si="29"/>
        <v>3</v>
      </c>
      <c r="T456" s="15">
        <f t="shared" si="30"/>
        <v>2.3333333333333335</v>
      </c>
      <c r="U456" s="15">
        <f t="shared" si="31"/>
        <v>3</v>
      </c>
    </row>
    <row r="457" spans="1:21" ht="54" x14ac:dyDescent="0.3">
      <c r="A457" s="15">
        <v>6408</v>
      </c>
      <c r="B457" s="15">
        <v>14208</v>
      </c>
      <c r="C457" s="15">
        <v>1</v>
      </c>
      <c r="D457" s="15" t="s">
        <v>4</v>
      </c>
      <c r="E457" s="20" t="s">
        <v>475</v>
      </c>
      <c r="F457" s="15">
        <v>4</v>
      </c>
      <c r="G457" s="15">
        <v>3</v>
      </c>
      <c r="H457" s="21">
        <v>3</v>
      </c>
      <c r="I457" s="15">
        <v>3</v>
      </c>
      <c r="J457" s="15">
        <v>3</v>
      </c>
      <c r="K457" s="21">
        <v>3</v>
      </c>
      <c r="L457" s="15">
        <v>2</v>
      </c>
      <c r="M457" s="15">
        <v>1</v>
      </c>
      <c r="N457" s="21">
        <v>2</v>
      </c>
      <c r="O457" s="15">
        <v>3</v>
      </c>
      <c r="P457" s="15">
        <v>3</v>
      </c>
      <c r="Q457" s="21">
        <v>3</v>
      </c>
      <c r="R457" s="15">
        <f t="shared" si="28"/>
        <v>3.3333333333333335</v>
      </c>
      <c r="S457" s="15">
        <f t="shared" si="29"/>
        <v>3</v>
      </c>
      <c r="T457" s="15">
        <f t="shared" si="30"/>
        <v>1.6666666666666667</v>
      </c>
      <c r="U457" s="15">
        <f t="shared" si="31"/>
        <v>3</v>
      </c>
    </row>
    <row r="458" spans="1:21" ht="40.5" x14ac:dyDescent="0.3">
      <c r="A458" s="15">
        <v>8437</v>
      </c>
      <c r="B458" s="15">
        <v>10147</v>
      </c>
      <c r="C458" s="15">
        <v>1</v>
      </c>
      <c r="D458" s="15" t="s">
        <v>4</v>
      </c>
      <c r="E458" s="20" t="s">
        <v>476</v>
      </c>
      <c r="F458" s="15">
        <v>3</v>
      </c>
      <c r="G458" s="15">
        <v>3</v>
      </c>
      <c r="H458" s="21">
        <v>4</v>
      </c>
      <c r="I458" s="15">
        <v>3</v>
      </c>
      <c r="J458" s="15">
        <v>2</v>
      </c>
      <c r="K458" s="21">
        <v>3</v>
      </c>
      <c r="L458" s="15">
        <v>2</v>
      </c>
      <c r="M458" s="15">
        <v>2</v>
      </c>
      <c r="N458" s="21">
        <v>3</v>
      </c>
      <c r="O458" s="15">
        <v>4</v>
      </c>
      <c r="P458" s="15">
        <v>3</v>
      </c>
      <c r="Q458" s="21">
        <v>4</v>
      </c>
      <c r="R458" s="15">
        <f t="shared" si="28"/>
        <v>3.3333333333333335</v>
      </c>
      <c r="S458" s="15">
        <f t="shared" si="29"/>
        <v>2.6666666666666665</v>
      </c>
      <c r="T458" s="15">
        <f t="shared" si="30"/>
        <v>2.3333333333333335</v>
      </c>
      <c r="U458" s="15">
        <f t="shared" si="31"/>
        <v>3.6666666666666665</v>
      </c>
    </row>
    <row r="459" spans="1:21" ht="67.5" x14ac:dyDescent="0.3">
      <c r="A459" s="15">
        <v>1599</v>
      </c>
      <c r="B459" s="15">
        <v>10801</v>
      </c>
      <c r="C459" s="15">
        <v>1</v>
      </c>
      <c r="D459" s="15" t="s">
        <v>4</v>
      </c>
      <c r="E459" s="20" t="s">
        <v>477</v>
      </c>
      <c r="F459" s="15">
        <v>4</v>
      </c>
      <c r="G459" s="15">
        <v>3</v>
      </c>
      <c r="H459" s="21">
        <v>3</v>
      </c>
      <c r="I459" s="15">
        <v>3</v>
      </c>
      <c r="J459" s="15">
        <v>3</v>
      </c>
      <c r="K459" s="21">
        <v>3</v>
      </c>
      <c r="L459" s="15">
        <v>2</v>
      </c>
      <c r="M459" s="15">
        <v>1</v>
      </c>
      <c r="N459" s="21">
        <v>2</v>
      </c>
      <c r="O459" s="15">
        <v>3</v>
      </c>
      <c r="P459" s="15">
        <v>3</v>
      </c>
      <c r="Q459" s="21">
        <v>2</v>
      </c>
      <c r="R459" s="15">
        <f t="shared" si="28"/>
        <v>3.3333333333333335</v>
      </c>
      <c r="S459" s="15">
        <f t="shared" si="29"/>
        <v>3</v>
      </c>
      <c r="T459" s="15">
        <f t="shared" si="30"/>
        <v>1.6666666666666667</v>
      </c>
      <c r="U459" s="15">
        <f t="shared" si="31"/>
        <v>2.6666666666666665</v>
      </c>
    </row>
    <row r="460" spans="1:21" ht="81" x14ac:dyDescent="0.3">
      <c r="A460" s="15">
        <v>16522</v>
      </c>
      <c r="B460" s="15">
        <v>11040</v>
      </c>
      <c r="C460" s="15">
        <v>1</v>
      </c>
      <c r="D460" s="15" t="s">
        <v>4</v>
      </c>
      <c r="E460" s="20" t="s">
        <v>478</v>
      </c>
      <c r="F460" s="15">
        <v>4</v>
      </c>
      <c r="G460" s="15">
        <v>4</v>
      </c>
      <c r="H460" s="21">
        <v>4</v>
      </c>
      <c r="I460" s="15">
        <v>4</v>
      </c>
      <c r="J460" s="15">
        <v>2</v>
      </c>
      <c r="K460" s="21">
        <v>3</v>
      </c>
      <c r="L460" s="15">
        <v>2</v>
      </c>
      <c r="M460" s="15">
        <v>3</v>
      </c>
      <c r="N460" s="21">
        <v>3</v>
      </c>
      <c r="O460" s="15">
        <v>4</v>
      </c>
      <c r="P460" s="15">
        <v>4</v>
      </c>
      <c r="Q460" s="21">
        <v>4</v>
      </c>
      <c r="R460" s="15">
        <f t="shared" si="28"/>
        <v>4</v>
      </c>
      <c r="S460" s="15">
        <f t="shared" si="29"/>
        <v>3</v>
      </c>
      <c r="T460" s="15">
        <f t="shared" si="30"/>
        <v>2.6666666666666665</v>
      </c>
      <c r="U460" s="15">
        <f t="shared" si="31"/>
        <v>4</v>
      </c>
    </row>
    <row r="461" spans="1:21" ht="81" x14ac:dyDescent="0.3">
      <c r="A461" s="15">
        <v>2038</v>
      </c>
      <c r="B461" s="15">
        <v>12617</v>
      </c>
      <c r="C461" s="15">
        <v>1</v>
      </c>
      <c r="D461" s="15" t="s">
        <v>40</v>
      </c>
      <c r="E461" s="20" t="s">
        <v>479</v>
      </c>
      <c r="F461" s="15">
        <v>4</v>
      </c>
      <c r="G461" s="15">
        <v>3</v>
      </c>
      <c r="H461" s="21">
        <v>4</v>
      </c>
      <c r="I461" s="15">
        <v>3</v>
      </c>
      <c r="J461" s="15">
        <v>3</v>
      </c>
      <c r="K461" s="21">
        <v>5</v>
      </c>
      <c r="L461" s="15">
        <v>2</v>
      </c>
      <c r="M461" s="15">
        <v>1</v>
      </c>
      <c r="N461" s="21">
        <v>3</v>
      </c>
      <c r="O461" s="15">
        <v>4</v>
      </c>
      <c r="P461" s="15">
        <v>3</v>
      </c>
      <c r="Q461" s="21">
        <v>4</v>
      </c>
      <c r="R461" s="15">
        <f t="shared" si="28"/>
        <v>3.6666666666666665</v>
      </c>
      <c r="S461" s="15">
        <f t="shared" si="29"/>
        <v>3.6666666666666665</v>
      </c>
      <c r="T461" s="15">
        <f t="shared" si="30"/>
        <v>2</v>
      </c>
      <c r="U461" s="15">
        <f t="shared" si="31"/>
        <v>3.6666666666666665</v>
      </c>
    </row>
    <row r="462" spans="1:21" ht="40.5" x14ac:dyDescent="0.3">
      <c r="A462" s="15">
        <v>16169</v>
      </c>
      <c r="B462" s="15">
        <v>14030</v>
      </c>
      <c r="C462" s="15">
        <v>1</v>
      </c>
      <c r="D462" s="15" t="s">
        <v>11</v>
      </c>
      <c r="E462" s="20" t="s">
        <v>480</v>
      </c>
      <c r="F462" s="15">
        <v>3</v>
      </c>
      <c r="G462" s="15">
        <v>3</v>
      </c>
      <c r="H462" s="21">
        <v>3</v>
      </c>
      <c r="I462" s="15">
        <v>3</v>
      </c>
      <c r="J462" s="15">
        <v>3</v>
      </c>
      <c r="K462" s="21">
        <v>3</v>
      </c>
      <c r="L462" s="15">
        <v>2</v>
      </c>
      <c r="M462" s="15">
        <v>1</v>
      </c>
      <c r="N462" s="21">
        <v>1</v>
      </c>
      <c r="O462" s="15">
        <v>3</v>
      </c>
      <c r="P462" s="15">
        <v>3</v>
      </c>
      <c r="Q462" s="21">
        <v>3</v>
      </c>
      <c r="R462" s="15">
        <f t="shared" si="28"/>
        <v>3</v>
      </c>
      <c r="S462" s="15">
        <f t="shared" si="29"/>
        <v>3</v>
      </c>
      <c r="T462" s="15">
        <f t="shared" si="30"/>
        <v>1.3333333333333333</v>
      </c>
      <c r="U462" s="15">
        <f t="shared" si="31"/>
        <v>3</v>
      </c>
    </row>
    <row r="463" spans="1:21" ht="81" x14ac:dyDescent="0.3">
      <c r="A463" s="15">
        <v>8619</v>
      </c>
      <c r="B463" s="15">
        <v>11186</v>
      </c>
      <c r="C463" s="15">
        <v>1</v>
      </c>
      <c r="D463" s="15" t="s">
        <v>4</v>
      </c>
      <c r="E463" s="20" t="s">
        <v>481</v>
      </c>
      <c r="F463" s="15">
        <v>4</v>
      </c>
      <c r="G463" s="15">
        <v>4</v>
      </c>
      <c r="H463" s="21">
        <v>5</v>
      </c>
      <c r="I463" s="15">
        <v>3</v>
      </c>
      <c r="J463" s="15">
        <v>3</v>
      </c>
      <c r="K463" s="21">
        <v>3</v>
      </c>
      <c r="L463" s="15">
        <v>2</v>
      </c>
      <c r="M463" s="15">
        <v>1</v>
      </c>
      <c r="N463" s="21">
        <v>3</v>
      </c>
      <c r="O463" s="15">
        <v>4</v>
      </c>
      <c r="P463" s="15">
        <v>3</v>
      </c>
      <c r="Q463" s="21">
        <v>5</v>
      </c>
      <c r="R463" s="15">
        <f t="shared" si="28"/>
        <v>4.333333333333333</v>
      </c>
      <c r="S463" s="15">
        <f t="shared" si="29"/>
        <v>3</v>
      </c>
      <c r="T463" s="15">
        <f t="shared" si="30"/>
        <v>2</v>
      </c>
      <c r="U463" s="15">
        <f t="shared" si="31"/>
        <v>4</v>
      </c>
    </row>
    <row r="464" spans="1:21" ht="40.5" x14ac:dyDescent="0.3">
      <c r="A464" s="15">
        <v>1444</v>
      </c>
      <c r="B464" s="15">
        <v>11883</v>
      </c>
      <c r="C464" s="15">
        <v>1</v>
      </c>
      <c r="D464" s="15" t="s">
        <v>4</v>
      </c>
      <c r="E464" s="20" t="s">
        <v>482</v>
      </c>
      <c r="F464" s="15">
        <v>3</v>
      </c>
      <c r="G464" s="15">
        <v>2</v>
      </c>
      <c r="H464" s="21">
        <v>3</v>
      </c>
      <c r="I464" s="15">
        <v>3</v>
      </c>
      <c r="J464" s="15">
        <v>3</v>
      </c>
      <c r="K464" s="21">
        <v>3</v>
      </c>
      <c r="L464" s="15">
        <v>2</v>
      </c>
      <c r="M464" s="15">
        <v>3</v>
      </c>
      <c r="N464" s="21">
        <v>1</v>
      </c>
      <c r="O464" s="15">
        <v>4</v>
      </c>
      <c r="P464" s="15">
        <v>3</v>
      </c>
      <c r="Q464" s="21">
        <v>3</v>
      </c>
      <c r="R464" s="15">
        <f t="shared" si="28"/>
        <v>2.6666666666666665</v>
      </c>
      <c r="S464" s="15">
        <f t="shared" si="29"/>
        <v>3</v>
      </c>
      <c r="T464" s="15">
        <f t="shared" si="30"/>
        <v>2</v>
      </c>
      <c r="U464" s="15">
        <f t="shared" si="31"/>
        <v>3.3333333333333335</v>
      </c>
    </row>
    <row r="465" spans="1:21" ht="40.5" x14ac:dyDescent="0.3">
      <c r="A465" s="15">
        <v>13482</v>
      </c>
      <c r="B465" s="15">
        <v>12748</v>
      </c>
      <c r="C465" s="15">
        <v>1</v>
      </c>
      <c r="D465" s="15" t="s">
        <v>50</v>
      </c>
      <c r="E465" s="20" t="s">
        <v>483</v>
      </c>
      <c r="F465" s="15">
        <v>3</v>
      </c>
      <c r="G465" s="15">
        <v>3</v>
      </c>
      <c r="H465" s="21">
        <v>4</v>
      </c>
      <c r="I465" s="15">
        <v>3</v>
      </c>
      <c r="J465" s="15">
        <v>1</v>
      </c>
      <c r="K465" s="21">
        <v>3</v>
      </c>
      <c r="L465" s="15">
        <v>2</v>
      </c>
      <c r="M465" s="15">
        <v>1</v>
      </c>
      <c r="N465" s="21">
        <v>3</v>
      </c>
      <c r="O465" s="15">
        <v>4</v>
      </c>
      <c r="P465" s="15">
        <v>3</v>
      </c>
      <c r="Q465" s="21">
        <v>4</v>
      </c>
      <c r="R465" s="15">
        <f t="shared" si="28"/>
        <v>3.3333333333333335</v>
      </c>
      <c r="S465" s="15">
        <f t="shared" si="29"/>
        <v>2.3333333333333335</v>
      </c>
      <c r="T465" s="15">
        <f t="shared" si="30"/>
        <v>2</v>
      </c>
      <c r="U465" s="15">
        <f t="shared" si="31"/>
        <v>3.6666666666666665</v>
      </c>
    </row>
    <row r="466" spans="1:21" ht="27" x14ac:dyDescent="0.3">
      <c r="A466" s="15">
        <v>3254</v>
      </c>
      <c r="B466" s="15">
        <v>11363</v>
      </c>
      <c r="C466" s="15">
        <v>1</v>
      </c>
      <c r="D466" s="15" t="s">
        <v>4</v>
      </c>
      <c r="E466" s="20" t="s">
        <v>484</v>
      </c>
      <c r="F466" s="15">
        <v>3</v>
      </c>
      <c r="G466" s="15">
        <v>3</v>
      </c>
      <c r="H466" s="21">
        <v>4</v>
      </c>
      <c r="I466" s="15">
        <v>3</v>
      </c>
      <c r="J466" s="15">
        <v>1</v>
      </c>
      <c r="K466" s="21">
        <v>3</v>
      </c>
      <c r="L466" s="15">
        <v>2</v>
      </c>
      <c r="M466" s="15">
        <v>1</v>
      </c>
      <c r="N466" s="21">
        <v>3</v>
      </c>
      <c r="O466" s="15">
        <v>4</v>
      </c>
      <c r="P466" s="15">
        <v>3</v>
      </c>
      <c r="Q466" s="21">
        <v>3</v>
      </c>
      <c r="R466" s="15">
        <f t="shared" si="28"/>
        <v>3.3333333333333335</v>
      </c>
      <c r="S466" s="15">
        <f t="shared" si="29"/>
        <v>2.3333333333333335</v>
      </c>
      <c r="T466" s="15">
        <f t="shared" si="30"/>
        <v>2</v>
      </c>
      <c r="U466" s="15">
        <f t="shared" si="31"/>
        <v>3.3333333333333335</v>
      </c>
    </row>
    <row r="467" spans="1:21" ht="27" x14ac:dyDescent="0.3">
      <c r="A467" s="15">
        <v>15917</v>
      </c>
      <c r="B467" s="15">
        <v>11791</v>
      </c>
      <c r="C467" s="15">
        <v>1</v>
      </c>
      <c r="D467" s="15" t="s">
        <v>4</v>
      </c>
      <c r="E467" s="20" t="s">
        <v>485</v>
      </c>
      <c r="F467" s="15">
        <v>3</v>
      </c>
      <c r="G467" s="15">
        <v>3</v>
      </c>
      <c r="H467" s="21">
        <v>4</v>
      </c>
      <c r="I467" s="15">
        <v>3</v>
      </c>
      <c r="J467" s="15">
        <v>1</v>
      </c>
      <c r="K467" s="21">
        <v>3</v>
      </c>
      <c r="L467" s="15">
        <v>2</v>
      </c>
      <c r="M467" s="15">
        <v>1</v>
      </c>
      <c r="N467" s="21">
        <v>3</v>
      </c>
      <c r="O467" s="15">
        <v>4</v>
      </c>
      <c r="P467" s="15">
        <v>3</v>
      </c>
      <c r="Q467" s="21">
        <v>3</v>
      </c>
      <c r="R467" s="15">
        <f t="shared" si="28"/>
        <v>3.3333333333333335</v>
      </c>
      <c r="S467" s="15">
        <f t="shared" si="29"/>
        <v>2.3333333333333335</v>
      </c>
      <c r="T467" s="15">
        <f t="shared" si="30"/>
        <v>2</v>
      </c>
      <c r="U467" s="15">
        <f t="shared" si="31"/>
        <v>3.3333333333333335</v>
      </c>
    </row>
    <row r="468" spans="1:21" ht="40.5" x14ac:dyDescent="0.3">
      <c r="A468" s="15">
        <v>11691</v>
      </c>
      <c r="B468" s="15">
        <v>13240</v>
      </c>
      <c r="C468" s="15">
        <v>1</v>
      </c>
      <c r="D468" s="15" t="s">
        <v>11</v>
      </c>
      <c r="E468" s="20" t="s">
        <v>486</v>
      </c>
      <c r="F468" s="15">
        <v>4</v>
      </c>
      <c r="G468" s="15">
        <v>3</v>
      </c>
      <c r="H468" s="21">
        <v>4</v>
      </c>
      <c r="I468" s="15">
        <v>3</v>
      </c>
      <c r="J468" s="15">
        <v>3</v>
      </c>
      <c r="K468" s="21">
        <v>3</v>
      </c>
      <c r="L468" s="15">
        <v>2</v>
      </c>
      <c r="M468" s="15">
        <v>1</v>
      </c>
      <c r="N468" s="21">
        <v>3</v>
      </c>
      <c r="O468" s="15">
        <v>4</v>
      </c>
      <c r="P468" s="15">
        <v>3</v>
      </c>
      <c r="Q468" s="21">
        <v>4</v>
      </c>
      <c r="R468" s="15">
        <f t="shared" si="28"/>
        <v>3.6666666666666665</v>
      </c>
      <c r="S468" s="15">
        <f t="shared" si="29"/>
        <v>3</v>
      </c>
      <c r="T468" s="15">
        <f t="shared" si="30"/>
        <v>2</v>
      </c>
      <c r="U468" s="15">
        <f t="shared" si="31"/>
        <v>3.6666666666666665</v>
      </c>
    </row>
    <row r="469" spans="1:21" ht="54" x14ac:dyDescent="0.3">
      <c r="A469" s="15">
        <v>11617</v>
      </c>
      <c r="B469" s="15">
        <v>12600</v>
      </c>
      <c r="C469" s="15">
        <v>1</v>
      </c>
      <c r="D469" s="15" t="s">
        <v>4</v>
      </c>
      <c r="E469" s="20" t="s">
        <v>487</v>
      </c>
      <c r="F469" s="15">
        <v>4</v>
      </c>
      <c r="G469" s="15">
        <v>4</v>
      </c>
      <c r="H469" s="21">
        <v>4</v>
      </c>
      <c r="I469" s="15">
        <v>3</v>
      </c>
      <c r="J469" s="15">
        <v>1</v>
      </c>
      <c r="K469" s="21">
        <v>3</v>
      </c>
      <c r="L469" s="15">
        <v>3</v>
      </c>
      <c r="M469" s="15">
        <v>2</v>
      </c>
      <c r="N469" s="21">
        <v>3</v>
      </c>
      <c r="O469" s="15">
        <v>4</v>
      </c>
      <c r="P469" s="15">
        <v>3</v>
      </c>
      <c r="Q469" s="21">
        <v>4</v>
      </c>
      <c r="R469" s="15">
        <f t="shared" si="28"/>
        <v>4</v>
      </c>
      <c r="S469" s="15">
        <f t="shared" si="29"/>
        <v>2.3333333333333335</v>
      </c>
      <c r="T469" s="15">
        <f t="shared" si="30"/>
        <v>2.6666666666666665</v>
      </c>
      <c r="U469" s="15">
        <f t="shared" si="31"/>
        <v>3.6666666666666665</v>
      </c>
    </row>
    <row r="470" spans="1:21" ht="54" x14ac:dyDescent="0.3">
      <c r="A470" s="15">
        <v>1826</v>
      </c>
      <c r="B470" s="15">
        <v>10378</v>
      </c>
      <c r="C470" s="15">
        <v>1</v>
      </c>
      <c r="D470" s="15" t="s">
        <v>4</v>
      </c>
      <c r="E470" s="20" t="s">
        <v>488</v>
      </c>
      <c r="F470" s="15">
        <v>3</v>
      </c>
      <c r="G470" s="15">
        <v>3</v>
      </c>
      <c r="H470" s="21">
        <v>3</v>
      </c>
      <c r="I470" s="15">
        <v>3</v>
      </c>
      <c r="J470" s="15">
        <v>3</v>
      </c>
      <c r="K470" s="21">
        <v>3</v>
      </c>
      <c r="L470" s="15">
        <v>2</v>
      </c>
      <c r="M470" s="15">
        <v>1</v>
      </c>
      <c r="N470" s="21">
        <v>2</v>
      </c>
      <c r="O470" s="15">
        <v>3</v>
      </c>
      <c r="P470" s="15">
        <v>3</v>
      </c>
      <c r="Q470" s="21">
        <v>3</v>
      </c>
      <c r="R470" s="15">
        <f t="shared" si="28"/>
        <v>3</v>
      </c>
      <c r="S470" s="15">
        <f t="shared" si="29"/>
        <v>3</v>
      </c>
      <c r="T470" s="15">
        <f t="shared" si="30"/>
        <v>1.6666666666666667</v>
      </c>
      <c r="U470" s="15">
        <f t="shared" si="31"/>
        <v>3</v>
      </c>
    </row>
    <row r="471" spans="1:21" ht="54" x14ac:dyDescent="0.3">
      <c r="A471" s="15">
        <v>16851</v>
      </c>
      <c r="B471" s="15">
        <v>14595</v>
      </c>
      <c r="C471" s="15">
        <v>1</v>
      </c>
      <c r="D471" s="15" t="s">
        <v>4</v>
      </c>
      <c r="E471" s="20" t="s">
        <v>489</v>
      </c>
      <c r="F471" s="15">
        <v>3</v>
      </c>
      <c r="G471" s="15">
        <v>3</v>
      </c>
      <c r="H471" s="21">
        <v>4</v>
      </c>
      <c r="I471" s="15">
        <v>3</v>
      </c>
      <c r="J471" s="15">
        <v>1</v>
      </c>
      <c r="K471" s="21">
        <v>3</v>
      </c>
      <c r="L471" s="15">
        <v>3</v>
      </c>
      <c r="M471" s="15">
        <v>1</v>
      </c>
      <c r="N471" s="21">
        <v>3</v>
      </c>
      <c r="O471" s="15">
        <v>4</v>
      </c>
      <c r="P471" s="15">
        <v>3</v>
      </c>
      <c r="Q471" s="21">
        <v>4</v>
      </c>
      <c r="R471" s="15">
        <f t="shared" si="28"/>
        <v>3.3333333333333335</v>
      </c>
      <c r="S471" s="15">
        <f t="shared" si="29"/>
        <v>2.3333333333333335</v>
      </c>
      <c r="T471" s="15">
        <f t="shared" si="30"/>
        <v>2.3333333333333335</v>
      </c>
      <c r="U471" s="15">
        <f t="shared" si="31"/>
        <v>3.6666666666666665</v>
      </c>
    </row>
    <row r="472" spans="1:21" ht="67.5" x14ac:dyDescent="0.3">
      <c r="A472" s="15">
        <v>6689</v>
      </c>
      <c r="B472" s="15">
        <v>11454</v>
      </c>
      <c r="C472" s="15">
        <v>1</v>
      </c>
      <c r="D472" s="15" t="s">
        <v>40</v>
      </c>
      <c r="E472" s="20" t="s">
        <v>490</v>
      </c>
      <c r="F472" s="15">
        <v>4</v>
      </c>
      <c r="G472" s="15">
        <v>3</v>
      </c>
      <c r="H472" s="21">
        <v>4</v>
      </c>
      <c r="I472" s="15">
        <v>3</v>
      </c>
      <c r="J472" s="15">
        <v>3</v>
      </c>
      <c r="K472" s="21">
        <v>3</v>
      </c>
      <c r="L472" s="15">
        <v>2</v>
      </c>
      <c r="M472" s="15">
        <v>3</v>
      </c>
      <c r="N472" s="21">
        <v>1</v>
      </c>
      <c r="O472" s="15">
        <v>4</v>
      </c>
      <c r="P472" s="15">
        <v>3</v>
      </c>
      <c r="Q472" s="21">
        <v>4</v>
      </c>
      <c r="R472" s="15">
        <f t="shared" si="28"/>
        <v>3.6666666666666665</v>
      </c>
      <c r="S472" s="15">
        <f t="shared" si="29"/>
        <v>3</v>
      </c>
      <c r="T472" s="15">
        <f t="shared" si="30"/>
        <v>2</v>
      </c>
      <c r="U472" s="15">
        <f t="shared" si="31"/>
        <v>3.6666666666666665</v>
      </c>
    </row>
    <row r="473" spans="1:21" ht="54" x14ac:dyDescent="0.3">
      <c r="A473" s="15">
        <v>4221</v>
      </c>
      <c r="B473" s="15">
        <v>13981</v>
      </c>
      <c r="C473" s="15">
        <v>1</v>
      </c>
      <c r="D473" s="15" t="s">
        <v>11</v>
      </c>
      <c r="E473" s="20" t="s">
        <v>491</v>
      </c>
      <c r="F473" s="15">
        <v>4</v>
      </c>
      <c r="G473" s="15">
        <v>3</v>
      </c>
      <c r="H473" s="21">
        <v>3</v>
      </c>
      <c r="I473" s="15">
        <v>3</v>
      </c>
      <c r="J473" s="15">
        <v>1</v>
      </c>
      <c r="K473" s="21">
        <v>3</v>
      </c>
      <c r="L473" s="15">
        <v>2</v>
      </c>
      <c r="M473" s="15">
        <v>1</v>
      </c>
      <c r="N473" s="21">
        <v>2</v>
      </c>
      <c r="O473" s="15">
        <v>4</v>
      </c>
      <c r="P473" s="15">
        <v>3</v>
      </c>
      <c r="Q473" s="21">
        <v>3</v>
      </c>
      <c r="R473" s="15">
        <f t="shared" si="28"/>
        <v>3.3333333333333335</v>
      </c>
      <c r="S473" s="15">
        <f t="shared" si="29"/>
        <v>2.3333333333333335</v>
      </c>
      <c r="T473" s="15">
        <f t="shared" si="30"/>
        <v>1.6666666666666667</v>
      </c>
      <c r="U473" s="15">
        <f t="shared" si="31"/>
        <v>3.3333333333333335</v>
      </c>
    </row>
    <row r="474" spans="1:21" ht="40.5" x14ac:dyDescent="0.3">
      <c r="A474" s="15">
        <v>7270</v>
      </c>
      <c r="B474" s="15">
        <v>14605</v>
      </c>
      <c r="C474" s="15">
        <v>1</v>
      </c>
      <c r="D474" s="15" t="s">
        <v>4</v>
      </c>
      <c r="E474" s="20" t="s">
        <v>492</v>
      </c>
      <c r="F474" s="15">
        <v>4</v>
      </c>
      <c r="G474" s="15">
        <v>3</v>
      </c>
      <c r="H474" s="21">
        <v>3</v>
      </c>
      <c r="I474" s="15">
        <v>3</v>
      </c>
      <c r="J474" s="15">
        <v>1</v>
      </c>
      <c r="K474" s="21">
        <v>3</v>
      </c>
      <c r="L474" s="15">
        <v>2</v>
      </c>
      <c r="M474" s="15">
        <v>1</v>
      </c>
      <c r="N474" s="21">
        <v>1</v>
      </c>
      <c r="O474" s="15">
        <v>4</v>
      </c>
      <c r="P474" s="15">
        <v>3</v>
      </c>
      <c r="Q474" s="21">
        <v>3</v>
      </c>
      <c r="R474" s="15">
        <f t="shared" si="28"/>
        <v>3.3333333333333335</v>
      </c>
      <c r="S474" s="15">
        <f t="shared" si="29"/>
        <v>2.3333333333333335</v>
      </c>
      <c r="T474" s="15">
        <f t="shared" si="30"/>
        <v>1.3333333333333333</v>
      </c>
      <c r="U474" s="15">
        <f t="shared" si="31"/>
        <v>3.3333333333333335</v>
      </c>
    </row>
    <row r="475" spans="1:21" ht="40.5" x14ac:dyDescent="0.3">
      <c r="A475" s="15">
        <v>8144</v>
      </c>
      <c r="B475" s="15">
        <v>11354</v>
      </c>
      <c r="C475" s="15">
        <v>1</v>
      </c>
      <c r="D475" s="15" t="s">
        <v>4</v>
      </c>
      <c r="E475" s="20" t="s">
        <v>493</v>
      </c>
      <c r="F475" s="15">
        <v>3</v>
      </c>
      <c r="G475" s="15">
        <v>2</v>
      </c>
      <c r="H475" s="21">
        <v>3</v>
      </c>
      <c r="I475" s="15">
        <v>3</v>
      </c>
      <c r="J475" s="15">
        <v>3</v>
      </c>
      <c r="K475" s="21">
        <v>3</v>
      </c>
      <c r="L475" s="15">
        <v>2</v>
      </c>
      <c r="M475" s="15">
        <v>3</v>
      </c>
      <c r="N475" s="21">
        <v>1</v>
      </c>
      <c r="O475" s="15">
        <v>3</v>
      </c>
      <c r="P475" s="15">
        <v>3</v>
      </c>
      <c r="Q475" s="21">
        <v>3</v>
      </c>
      <c r="R475" s="15">
        <f t="shared" si="28"/>
        <v>2.6666666666666665</v>
      </c>
      <c r="S475" s="15">
        <f t="shared" si="29"/>
        <v>3</v>
      </c>
      <c r="T475" s="15">
        <f t="shared" si="30"/>
        <v>2</v>
      </c>
      <c r="U475" s="15">
        <f t="shared" si="31"/>
        <v>3</v>
      </c>
    </row>
    <row r="476" spans="1:21" ht="40.5" x14ac:dyDescent="0.3">
      <c r="A476" s="15">
        <v>4049</v>
      </c>
      <c r="B476" s="15">
        <v>14936</v>
      </c>
      <c r="C476" s="15">
        <v>1</v>
      </c>
      <c r="D476" s="15" t="s">
        <v>4</v>
      </c>
      <c r="E476" s="20" t="s">
        <v>494</v>
      </c>
      <c r="F476" s="15">
        <v>3</v>
      </c>
      <c r="G476" s="15">
        <v>2</v>
      </c>
      <c r="H476" s="21">
        <v>3</v>
      </c>
      <c r="I476" s="15">
        <v>3</v>
      </c>
      <c r="J476" s="15">
        <v>1</v>
      </c>
      <c r="K476" s="21">
        <v>3</v>
      </c>
      <c r="L476" s="15">
        <v>2</v>
      </c>
      <c r="M476" s="15">
        <v>1</v>
      </c>
      <c r="N476" s="21">
        <v>3</v>
      </c>
      <c r="O476" s="15">
        <v>4</v>
      </c>
      <c r="P476" s="15">
        <v>3</v>
      </c>
      <c r="Q476" s="21">
        <v>3</v>
      </c>
      <c r="R476" s="15">
        <f t="shared" si="28"/>
        <v>2.6666666666666665</v>
      </c>
      <c r="S476" s="15">
        <f t="shared" si="29"/>
        <v>2.3333333333333335</v>
      </c>
      <c r="T476" s="15">
        <f t="shared" si="30"/>
        <v>2</v>
      </c>
      <c r="U476" s="15">
        <f t="shared" si="31"/>
        <v>3.3333333333333335</v>
      </c>
    </row>
    <row r="477" spans="1:21" ht="81" x14ac:dyDescent="0.3">
      <c r="A477" s="15">
        <v>10948</v>
      </c>
      <c r="B477" s="15">
        <v>11302</v>
      </c>
      <c r="C477" s="15">
        <v>1</v>
      </c>
      <c r="D477" s="15" t="s">
        <v>4</v>
      </c>
      <c r="E477" s="20" t="s">
        <v>495</v>
      </c>
      <c r="F477" s="15">
        <v>4</v>
      </c>
      <c r="G477" s="15">
        <v>4</v>
      </c>
      <c r="H477" s="21">
        <v>4</v>
      </c>
      <c r="I477" s="15">
        <v>3</v>
      </c>
      <c r="J477" s="15">
        <v>5</v>
      </c>
      <c r="K477" s="21">
        <v>5</v>
      </c>
      <c r="L477" s="15">
        <v>2</v>
      </c>
      <c r="M477" s="15">
        <v>3</v>
      </c>
      <c r="N477" s="21">
        <v>4</v>
      </c>
      <c r="O477" s="15">
        <v>4</v>
      </c>
      <c r="P477" s="15">
        <v>3</v>
      </c>
      <c r="Q477" s="21">
        <v>4</v>
      </c>
      <c r="R477" s="15">
        <f t="shared" si="28"/>
        <v>4</v>
      </c>
      <c r="S477" s="15">
        <f t="shared" si="29"/>
        <v>4.333333333333333</v>
      </c>
      <c r="T477" s="15">
        <f t="shared" si="30"/>
        <v>3</v>
      </c>
      <c r="U477" s="15">
        <f t="shared" si="31"/>
        <v>3.6666666666666665</v>
      </c>
    </row>
    <row r="478" spans="1:21" ht="27" x14ac:dyDescent="0.3">
      <c r="A478" s="15">
        <v>15353</v>
      </c>
      <c r="B478" s="15">
        <v>10359</v>
      </c>
      <c r="C478" s="15">
        <v>1</v>
      </c>
      <c r="D478" s="15" t="s">
        <v>4</v>
      </c>
      <c r="E478" s="20" t="s">
        <v>496</v>
      </c>
      <c r="F478" s="15">
        <v>3</v>
      </c>
      <c r="G478" s="15">
        <v>2</v>
      </c>
      <c r="H478" s="21">
        <v>3</v>
      </c>
      <c r="I478" s="15">
        <v>3</v>
      </c>
      <c r="J478" s="15">
        <v>3</v>
      </c>
      <c r="K478" s="21">
        <v>3</v>
      </c>
      <c r="L478" s="15">
        <v>2</v>
      </c>
      <c r="M478" s="15">
        <v>3</v>
      </c>
      <c r="N478" s="21">
        <v>3</v>
      </c>
      <c r="O478" s="15">
        <v>4</v>
      </c>
      <c r="P478" s="15">
        <v>3</v>
      </c>
      <c r="Q478" s="21">
        <v>3</v>
      </c>
      <c r="R478" s="15">
        <f t="shared" si="28"/>
        <v>2.6666666666666665</v>
      </c>
      <c r="S478" s="15">
        <f t="shared" si="29"/>
        <v>3</v>
      </c>
      <c r="T478" s="15">
        <f t="shared" si="30"/>
        <v>2.6666666666666665</v>
      </c>
      <c r="U478" s="15">
        <f t="shared" si="31"/>
        <v>3.3333333333333335</v>
      </c>
    </row>
    <row r="479" spans="1:21" ht="27" x14ac:dyDescent="0.3">
      <c r="A479" s="15">
        <v>13473</v>
      </c>
      <c r="B479" s="15">
        <v>12767</v>
      </c>
      <c r="C479" s="15">
        <v>1</v>
      </c>
      <c r="D479" s="15" t="s">
        <v>4</v>
      </c>
      <c r="E479" s="20" t="s">
        <v>497</v>
      </c>
      <c r="F479" s="15">
        <v>3</v>
      </c>
      <c r="G479" s="15">
        <v>3</v>
      </c>
      <c r="H479" s="21">
        <v>3</v>
      </c>
      <c r="I479" s="15">
        <v>3</v>
      </c>
      <c r="J479" s="15">
        <v>3</v>
      </c>
      <c r="K479" s="21">
        <v>3</v>
      </c>
      <c r="L479" s="15">
        <v>2</v>
      </c>
      <c r="M479" s="15">
        <v>3</v>
      </c>
      <c r="N479" s="21">
        <v>3</v>
      </c>
      <c r="O479" s="15">
        <v>4</v>
      </c>
      <c r="P479" s="15">
        <v>3</v>
      </c>
      <c r="Q479" s="21">
        <v>3</v>
      </c>
      <c r="R479" s="15">
        <f t="shared" si="28"/>
        <v>3</v>
      </c>
      <c r="S479" s="15">
        <f t="shared" si="29"/>
        <v>3</v>
      </c>
      <c r="T479" s="15">
        <f t="shared" si="30"/>
        <v>2.6666666666666665</v>
      </c>
      <c r="U479" s="15">
        <f t="shared" si="31"/>
        <v>3.3333333333333335</v>
      </c>
    </row>
    <row r="480" spans="1:21" ht="40.5" x14ac:dyDescent="0.3">
      <c r="A480" s="15">
        <v>12034</v>
      </c>
      <c r="B480" s="15">
        <v>14789</v>
      </c>
      <c r="C480" s="15">
        <v>1</v>
      </c>
      <c r="D480" s="15" t="s">
        <v>4</v>
      </c>
      <c r="E480" s="20" t="s">
        <v>498</v>
      </c>
      <c r="F480" s="15">
        <v>4</v>
      </c>
      <c r="G480" s="15">
        <v>3</v>
      </c>
      <c r="H480" s="21">
        <v>4</v>
      </c>
      <c r="I480" s="15">
        <v>1</v>
      </c>
      <c r="J480" s="15">
        <v>3</v>
      </c>
      <c r="K480" s="21">
        <v>3</v>
      </c>
      <c r="L480" s="15">
        <v>2</v>
      </c>
      <c r="M480" s="15">
        <v>1</v>
      </c>
      <c r="N480" s="21">
        <v>3</v>
      </c>
      <c r="O480" s="15">
        <v>3</v>
      </c>
      <c r="P480" s="15">
        <v>3</v>
      </c>
      <c r="Q480" s="21">
        <v>4</v>
      </c>
      <c r="R480" s="15">
        <f t="shared" si="28"/>
        <v>3.6666666666666665</v>
      </c>
      <c r="S480" s="15">
        <f t="shared" si="29"/>
        <v>2.3333333333333335</v>
      </c>
      <c r="T480" s="15">
        <f t="shared" si="30"/>
        <v>2</v>
      </c>
      <c r="U480" s="15">
        <f t="shared" si="31"/>
        <v>3.3333333333333335</v>
      </c>
    </row>
    <row r="481" spans="1:21" ht="27" x14ac:dyDescent="0.3">
      <c r="A481" s="15">
        <v>14544</v>
      </c>
      <c r="B481" s="15">
        <v>12703</v>
      </c>
      <c r="C481" s="15">
        <v>1</v>
      </c>
      <c r="D481" s="15" t="s">
        <v>40</v>
      </c>
      <c r="E481" s="20" t="s">
        <v>499</v>
      </c>
      <c r="F481" s="15">
        <v>3</v>
      </c>
      <c r="G481" s="15">
        <v>2</v>
      </c>
      <c r="H481" s="21">
        <v>3</v>
      </c>
      <c r="I481" s="15">
        <v>3</v>
      </c>
      <c r="J481" s="15">
        <v>3</v>
      </c>
      <c r="K481" s="21">
        <v>3</v>
      </c>
      <c r="L481" s="15">
        <v>3</v>
      </c>
      <c r="M481" s="15">
        <v>3</v>
      </c>
      <c r="N481" s="21">
        <v>1</v>
      </c>
      <c r="O481" s="15">
        <v>4</v>
      </c>
      <c r="P481" s="15">
        <v>3</v>
      </c>
      <c r="Q481" s="21">
        <v>3</v>
      </c>
      <c r="R481" s="15">
        <f t="shared" si="28"/>
        <v>2.6666666666666665</v>
      </c>
      <c r="S481" s="15">
        <f t="shared" si="29"/>
        <v>3</v>
      </c>
      <c r="T481" s="15">
        <f t="shared" si="30"/>
        <v>2.3333333333333335</v>
      </c>
      <c r="U481" s="15">
        <f t="shared" si="31"/>
        <v>3.3333333333333335</v>
      </c>
    </row>
    <row r="482" spans="1:21" ht="40.5" x14ac:dyDescent="0.3">
      <c r="A482" s="15">
        <v>1499</v>
      </c>
      <c r="B482" s="15">
        <v>12810</v>
      </c>
      <c r="C482" s="15">
        <v>1</v>
      </c>
      <c r="D482" s="15" t="s">
        <v>50</v>
      </c>
      <c r="E482" s="20" t="s">
        <v>500</v>
      </c>
      <c r="F482" s="15">
        <v>4</v>
      </c>
      <c r="G482" s="15">
        <v>3</v>
      </c>
      <c r="H482" s="21">
        <v>3</v>
      </c>
      <c r="I482" s="15">
        <v>3</v>
      </c>
      <c r="J482" s="15">
        <v>1</v>
      </c>
      <c r="K482" s="21">
        <v>3</v>
      </c>
      <c r="L482" s="15">
        <v>2</v>
      </c>
      <c r="M482" s="15">
        <v>1</v>
      </c>
      <c r="N482" s="21">
        <v>3</v>
      </c>
      <c r="O482" s="15">
        <v>4</v>
      </c>
      <c r="P482" s="15">
        <v>3</v>
      </c>
      <c r="Q482" s="21">
        <v>3</v>
      </c>
      <c r="R482" s="15">
        <f t="shared" si="28"/>
        <v>3.3333333333333335</v>
      </c>
      <c r="S482" s="15">
        <f t="shared" si="29"/>
        <v>2.3333333333333335</v>
      </c>
      <c r="T482" s="15">
        <f t="shared" si="30"/>
        <v>2</v>
      </c>
      <c r="U482" s="15">
        <f t="shared" si="31"/>
        <v>3.3333333333333335</v>
      </c>
    </row>
    <row r="483" spans="1:21" ht="54" x14ac:dyDescent="0.3">
      <c r="A483" s="15">
        <v>11521</v>
      </c>
      <c r="B483" s="15">
        <v>11408</v>
      </c>
      <c r="C483" s="15">
        <v>1</v>
      </c>
      <c r="D483" s="15" t="s">
        <v>4</v>
      </c>
      <c r="E483" s="20" t="s">
        <v>501</v>
      </c>
      <c r="F483" s="15">
        <v>4</v>
      </c>
      <c r="G483" s="15">
        <v>3</v>
      </c>
      <c r="H483" s="21">
        <v>3</v>
      </c>
      <c r="I483" s="15">
        <v>3</v>
      </c>
      <c r="J483" s="15">
        <v>3</v>
      </c>
      <c r="K483" s="21">
        <v>3</v>
      </c>
      <c r="L483" s="15">
        <v>2</v>
      </c>
      <c r="M483" s="15">
        <v>1</v>
      </c>
      <c r="N483" s="21">
        <v>2</v>
      </c>
      <c r="O483" s="15">
        <v>3</v>
      </c>
      <c r="P483" s="15">
        <v>3</v>
      </c>
      <c r="Q483" s="21">
        <v>3</v>
      </c>
      <c r="R483" s="15">
        <f t="shared" si="28"/>
        <v>3.3333333333333335</v>
      </c>
      <c r="S483" s="15">
        <f t="shared" si="29"/>
        <v>3</v>
      </c>
      <c r="T483" s="15">
        <f t="shared" si="30"/>
        <v>1.6666666666666667</v>
      </c>
      <c r="U483" s="15">
        <f t="shared" si="31"/>
        <v>3</v>
      </c>
    </row>
    <row r="484" spans="1:21" ht="67.5" x14ac:dyDescent="0.3">
      <c r="A484" s="15">
        <v>9314</v>
      </c>
      <c r="B484" s="15">
        <v>13035</v>
      </c>
      <c r="C484" s="15">
        <v>1</v>
      </c>
      <c r="D484" s="15" t="s">
        <v>11</v>
      </c>
      <c r="E484" s="20" t="s">
        <v>502</v>
      </c>
      <c r="F484" s="15">
        <v>3</v>
      </c>
      <c r="G484" s="15">
        <v>3</v>
      </c>
      <c r="H484" s="21">
        <v>3</v>
      </c>
      <c r="I484" s="15">
        <v>3</v>
      </c>
      <c r="J484" s="15">
        <v>3</v>
      </c>
      <c r="K484" s="21">
        <v>3</v>
      </c>
      <c r="L484" s="15">
        <v>2</v>
      </c>
      <c r="M484" s="15">
        <v>1</v>
      </c>
      <c r="N484" s="21">
        <v>3</v>
      </c>
      <c r="O484" s="15">
        <v>4</v>
      </c>
      <c r="P484" s="15">
        <v>3</v>
      </c>
      <c r="Q484" s="21">
        <v>3</v>
      </c>
      <c r="R484" s="15">
        <f t="shared" si="28"/>
        <v>3</v>
      </c>
      <c r="S484" s="15">
        <f t="shared" si="29"/>
        <v>3</v>
      </c>
      <c r="T484" s="15">
        <f t="shared" si="30"/>
        <v>2</v>
      </c>
      <c r="U484" s="15">
        <f t="shared" si="31"/>
        <v>3.3333333333333335</v>
      </c>
    </row>
    <row r="485" spans="1:21" ht="40.5" x14ac:dyDescent="0.3">
      <c r="A485" s="15">
        <v>9981</v>
      </c>
      <c r="B485" s="15">
        <v>11961</v>
      </c>
      <c r="C485" s="15">
        <v>1</v>
      </c>
      <c r="D485" s="15" t="s">
        <v>45</v>
      </c>
      <c r="E485" s="20" t="s">
        <v>503</v>
      </c>
      <c r="F485" s="15">
        <v>3</v>
      </c>
      <c r="G485" s="15">
        <v>3</v>
      </c>
      <c r="H485" s="21">
        <v>4</v>
      </c>
      <c r="I485" s="15">
        <v>3</v>
      </c>
      <c r="J485" s="15">
        <v>1</v>
      </c>
      <c r="K485" s="21">
        <v>3</v>
      </c>
      <c r="L485" s="15">
        <v>2</v>
      </c>
      <c r="M485" s="15">
        <v>1</v>
      </c>
      <c r="N485" s="21">
        <v>3</v>
      </c>
      <c r="O485" s="15">
        <v>3</v>
      </c>
      <c r="P485" s="15">
        <v>3</v>
      </c>
      <c r="Q485" s="21">
        <v>4</v>
      </c>
      <c r="R485" s="15">
        <f t="shared" si="28"/>
        <v>3.3333333333333335</v>
      </c>
      <c r="S485" s="15">
        <f t="shared" si="29"/>
        <v>2.3333333333333335</v>
      </c>
      <c r="T485" s="15">
        <f t="shared" si="30"/>
        <v>2</v>
      </c>
      <c r="U485" s="15">
        <f t="shared" si="31"/>
        <v>3.3333333333333335</v>
      </c>
    </row>
    <row r="486" spans="1:21" ht="81" x14ac:dyDescent="0.3">
      <c r="A486" s="15">
        <v>7747</v>
      </c>
      <c r="B486" s="15">
        <v>12545</v>
      </c>
      <c r="C486" s="15">
        <v>1</v>
      </c>
      <c r="D486" s="15" t="s">
        <v>467</v>
      </c>
      <c r="E486" s="20" t="s">
        <v>504</v>
      </c>
      <c r="F486" s="15">
        <v>4</v>
      </c>
      <c r="G486" s="15">
        <v>3</v>
      </c>
      <c r="H486" s="21">
        <v>4</v>
      </c>
      <c r="I486" s="15">
        <v>3</v>
      </c>
      <c r="J486" s="15">
        <v>3</v>
      </c>
      <c r="K486" s="21">
        <v>5</v>
      </c>
      <c r="L486" s="15">
        <v>3</v>
      </c>
      <c r="M486" s="15">
        <v>3</v>
      </c>
      <c r="N486" s="21">
        <v>3</v>
      </c>
      <c r="O486" s="15">
        <v>4</v>
      </c>
      <c r="P486" s="15">
        <v>4</v>
      </c>
      <c r="Q486" s="21">
        <v>5</v>
      </c>
      <c r="R486" s="15">
        <f t="shared" si="28"/>
        <v>3.6666666666666665</v>
      </c>
      <c r="S486" s="15">
        <f t="shared" si="29"/>
        <v>3.6666666666666665</v>
      </c>
      <c r="T486" s="15">
        <f t="shared" si="30"/>
        <v>3</v>
      </c>
      <c r="U486" s="15">
        <f t="shared" si="31"/>
        <v>4.333333333333333</v>
      </c>
    </row>
    <row r="487" spans="1:21" ht="27" x14ac:dyDescent="0.3">
      <c r="A487" s="15">
        <v>2362</v>
      </c>
      <c r="B487" s="15">
        <v>10317</v>
      </c>
      <c r="C487" s="15">
        <v>1</v>
      </c>
      <c r="D487" s="15" t="s">
        <v>4</v>
      </c>
      <c r="E487" s="20" t="s">
        <v>505</v>
      </c>
      <c r="F487" s="15">
        <v>3</v>
      </c>
      <c r="G487" s="15">
        <v>2</v>
      </c>
      <c r="H487" s="21">
        <v>3</v>
      </c>
      <c r="I487" s="15">
        <v>3</v>
      </c>
      <c r="J487" s="15">
        <v>3</v>
      </c>
      <c r="K487" s="21">
        <v>3</v>
      </c>
      <c r="L487" s="15">
        <v>2</v>
      </c>
      <c r="M487" s="15">
        <v>1</v>
      </c>
      <c r="N487" s="21">
        <v>2</v>
      </c>
      <c r="O487" s="15">
        <v>3</v>
      </c>
      <c r="P487" s="15">
        <v>3</v>
      </c>
      <c r="Q487" s="21">
        <v>3</v>
      </c>
      <c r="R487" s="15">
        <f t="shared" si="28"/>
        <v>2.6666666666666665</v>
      </c>
      <c r="S487" s="15">
        <f t="shared" si="29"/>
        <v>3</v>
      </c>
      <c r="T487" s="15">
        <f t="shared" si="30"/>
        <v>1.6666666666666667</v>
      </c>
      <c r="U487" s="15">
        <f t="shared" si="31"/>
        <v>3</v>
      </c>
    </row>
    <row r="488" spans="1:21" ht="40.5" x14ac:dyDescent="0.3">
      <c r="A488" s="15">
        <v>14222</v>
      </c>
      <c r="B488" s="15">
        <v>10398</v>
      </c>
      <c r="C488" s="15">
        <v>1</v>
      </c>
      <c r="D488" s="15" t="s">
        <v>40</v>
      </c>
      <c r="E488" s="20" t="s">
        <v>506</v>
      </c>
      <c r="F488" s="15">
        <v>3</v>
      </c>
      <c r="G488" s="15">
        <v>3</v>
      </c>
      <c r="H488" s="21">
        <v>3</v>
      </c>
      <c r="I488" s="15">
        <v>3</v>
      </c>
      <c r="J488" s="15">
        <v>3</v>
      </c>
      <c r="K488" s="21">
        <v>3</v>
      </c>
      <c r="L488" s="15">
        <v>2</v>
      </c>
      <c r="M488" s="15">
        <v>3</v>
      </c>
      <c r="N488" s="21">
        <v>3</v>
      </c>
      <c r="O488" s="15">
        <v>4</v>
      </c>
      <c r="P488" s="15">
        <v>3</v>
      </c>
      <c r="Q488" s="21">
        <v>3</v>
      </c>
      <c r="R488" s="15">
        <f t="shared" si="28"/>
        <v>3</v>
      </c>
      <c r="S488" s="15">
        <f t="shared" si="29"/>
        <v>3</v>
      </c>
      <c r="T488" s="15">
        <f t="shared" si="30"/>
        <v>2.6666666666666665</v>
      </c>
      <c r="U488" s="15">
        <f t="shared" si="31"/>
        <v>3.3333333333333335</v>
      </c>
    </row>
    <row r="489" spans="1:21" ht="67.5" x14ac:dyDescent="0.3">
      <c r="A489" s="15">
        <v>5658</v>
      </c>
      <c r="B489" s="15">
        <v>14778</v>
      </c>
      <c r="C489" s="15">
        <v>1</v>
      </c>
      <c r="D489" s="15" t="s">
        <v>4</v>
      </c>
      <c r="E489" s="20" t="s">
        <v>507</v>
      </c>
      <c r="F489" s="15">
        <v>4</v>
      </c>
      <c r="G489" s="15">
        <v>4</v>
      </c>
      <c r="H489" s="21">
        <v>4</v>
      </c>
      <c r="I489" s="15">
        <v>3</v>
      </c>
      <c r="J489" s="15">
        <v>3</v>
      </c>
      <c r="K489" s="21">
        <v>3</v>
      </c>
      <c r="L489" s="15">
        <v>3</v>
      </c>
      <c r="M489" s="15">
        <v>1</v>
      </c>
      <c r="N489" s="21">
        <v>3</v>
      </c>
      <c r="O489" s="15">
        <v>4</v>
      </c>
      <c r="P489" s="15">
        <v>3</v>
      </c>
      <c r="Q489" s="21">
        <v>4</v>
      </c>
      <c r="R489" s="15">
        <f t="shared" si="28"/>
        <v>4</v>
      </c>
      <c r="S489" s="15">
        <f t="shared" si="29"/>
        <v>3</v>
      </c>
      <c r="T489" s="15">
        <f t="shared" si="30"/>
        <v>2.3333333333333335</v>
      </c>
      <c r="U489" s="15">
        <f t="shared" si="31"/>
        <v>3.6666666666666665</v>
      </c>
    </row>
    <row r="490" spans="1:21" ht="81" x14ac:dyDescent="0.3">
      <c r="A490" s="15">
        <v>12157</v>
      </c>
      <c r="B490" s="15">
        <v>13353</v>
      </c>
      <c r="C490" s="15">
        <v>1</v>
      </c>
      <c r="D490" s="15" t="s">
        <v>11</v>
      </c>
      <c r="E490" s="20" t="s">
        <v>175</v>
      </c>
      <c r="F490" s="15">
        <v>4</v>
      </c>
      <c r="G490" s="15">
        <v>4</v>
      </c>
      <c r="H490" s="21">
        <v>4</v>
      </c>
      <c r="I490" s="15">
        <v>3</v>
      </c>
      <c r="J490" s="15">
        <v>3</v>
      </c>
      <c r="K490" s="21">
        <v>5</v>
      </c>
      <c r="L490" s="15">
        <v>2</v>
      </c>
      <c r="M490" s="15">
        <v>1</v>
      </c>
      <c r="N490" s="21">
        <v>3</v>
      </c>
      <c r="O490" s="15">
        <v>4</v>
      </c>
      <c r="P490" s="15">
        <v>3</v>
      </c>
      <c r="Q490" s="21">
        <v>4</v>
      </c>
      <c r="R490" s="15">
        <f t="shared" si="28"/>
        <v>4</v>
      </c>
      <c r="S490" s="15">
        <f t="shared" si="29"/>
        <v>3.6666666666666665</v>
      </c>
      <c r="T490" s="15">
        <f t="shared" si="30"/>
        <v>2</v>
      </c>
      <c r="U490" s="15">
        <f t="shared" si="31"/>
        <v>3.6666666666666665</v>
      </c>
    </row>
    <row r="491" spans="1:21" ht="54" x14ac:dyDescent="0.3">
      <c r="A491" s="15">
        <v>4571</v>
      </c>
      <c r="B491" s="15">
        <v>10075</v>
      </c>
      <c r="C491" s="15">
        <v>1</v>
      </c>
      <c r="D491" s="15" t="s">
        <v>4</v>
      </c>
      <c r="E491" s="20" t="s">
        <v>508</v>
      </c>
      <c r="F491" s="15">
        <v>4</v>
      </c>
      <c r="G491" s="15">
        <v>3</v>
      </c>
      <c r="H491" s="21">
        <v>4</v>
      </c>
      <c r="I491" s="15">
        <v>3</v>
      </c>
      <c r="J491" s="15">
        <v>3</v>
      </c>
      <c r="K491" s="21">
        <v>3</v>
      </c>
      <c r="L491" s="15">
        <v>2</v>
      </c>
      <c r="M491" s="15">
        <v>1</v>
      </c>
      <c r="N491" s="21">
        <v>1</v>
      </c>
      <c r="O491" s="15">
        <v>4</v>
      </c>
      <c r="P491" s="15">
        <v>3</v>
      </c>
      <c r="Q491" s="21">
        <v>4</v>
      </c>
      <c r="R491" s="15">
        <f t="shared" si="28"/>
        <v>3.6666666666666665</v>
      </c>
      <c r="S491" s="15">
        <f t="shared" si="29"/>
        <v>3</v>
      </c>
      <c r="T491" s="15">
        <f t="shared" si="30"/>
        <v>1.3333333333333333</v>
      </c>
      <c r="U491" s="15">
        <f t="shared" si="31"/>
        <v>3.6666666666666665</v>
      </c>
    </row>
    <row r="492" spans="1:21" ht="81" x14ac:dyDescent="0.3">
      <c r="A492" s="15">
        <v>15024</v>
      </c>
      <c r="B492" s="15">
        <v>12419</v>
      </c>
      <c r="C492" s="15">
        <v>1</v>
      </c>
      <c r="D492" s="15" t="s">
        <v>4</v>
      </c>
      <c r="E492" s="20" t="s">
        <v>509</v>
      </c>
      <c r="F492" s="15">
        <v>3</v>
      </c>
      <c r="G492" s="15">
        <v>4</v>
      </c>
      <c r="H492" s="21">
        <v>4</v>
      </c>
      <c r="I492" s="15">
        <v>3</v>
      </c>
      <c r="J492" s="15">
        <v>3</v>
      </c>
      <c r="K492" s="21">
        <v>5</v>
      </c>
      <c r="L492" s="15">
        <v>2</v>
      </c>
      <c r="M492" s="15">
        <v>1</v>
      </c>
      <c r="N492" s="21">
        <v>3</v>
      </c>
      <c r="O492" s="15">
        <v>4</v>
      </c>
      <c r="P492" s="15">
        <v>3</v>
      </c>
      <c r="Q492" s="21">
        <v>4</v>
      </c>
      <c r="R492" s="15">
        <f t="shared" si="28"/>
        <v>3.6666666666666665</v>
      </c>
      <c r="S492" s="15">
        <f t="shared" si="29"/>
        <v>3.6666666666666665</v>
      </c>
      <c r="T492" s="15">
        <f t="shared" si="30"/>
        <v>2</v>
      </c>
      <c r="U492" s="15">
        <f t="shared" si="31"/>
        <v>3.6666666666666665</v>
      </c>
    </row>
    <row r="493" spans="1:21" ht="108" x14ac:dyDescent="0.3">
      <c r="A493" s="15">
        <v>532</v>
      </c>
      <c r="B493" s="15">
        <v>11496</v>
      </c>
      <c r="C493" s="15">
        <v>1</v>
      </c>
      <c r="D493" s="15" t="s">
        <v>4</v>
      </c>
      <c r="E493" s="20" t="s">
        <v>510</v>
      </c>
      <c r="F493" s="15">
        <v>4</v>
      </c>
      <c r="G493" s="15">
        <v>4</v>
      </c>
      <c r="H493" s="21">
        <v>4</v>
      </c>
      <c r="I493" s="15">
        <v>5</v>
      </c>
      <c r="J493" s="15">
        <v>3</v>
      </c>
      <c r="K493" s="21">
        <v>5</v>
      </c>
      <c r="L493" s="15">
        <v>2</v>
      </c>
      <c r="M493" s="15">
        <v>3</v>
      </c>
      <c r="N493" s="21">
        <v>5</v>
      </c>
      <c r="O493" s="15">
        <v>5</v>
      </c>
      <c r="P493" s="15">
        <v>5</v>
      </c>
      <c r="Q493" s="21">
        <v>4</v>
      </c>
      <c r="R493" s="15">
        <f t="shared" si="28"/>
        <v>4</v>
      </c>
      <c r="S493" s="15">
        <f t="shared" si="29"/>
        <v>4.333333333333333</v>
      </c>
      <c r="T493" s="15">
        <f t="shared" si="30"/>
        <v>3.3333333333333335</v>
      </c>
      <c r="U493" s="15">
        <f t="shared" si="31"/>
        <v>4.666666666666667</v>
      </c>
    </row>
    <row r="494" spans="1:21" ht="67.5" x14ac:dyDescent="0.3">
      <c r="A494" s="15">
        <v>12723</v>
      </c>
      <c r="B494" s="15">
        <v>10980</v>
      </c>
      <c r="C494" s="15">
        <v>1</v>
      </c>
      <c r="D494" s="15" t="s">
        <v>231</v>
      </c>
      <c r="E494" s="20" t="s">
        <v>511</v>
      </c>
      <c r="F494" s="15">
        <v>4</v>
      </c>
      <c r="G494" s="15">
        <v>3</v>
      </c>
      <c r="H494" s="21">
        <v>4</v>
      </c>
      <c r="I494" s="15">
        <v>3</v>
      </c>
      <c r="J494" s="15">
        <v>2</v>
      </c>
      <c r="K494" s="21">
        <v>5</v>
      </c>
      <c r="L494" s="15">
        <v>2</v>
      </c>
      <c r="M494" s="15">
        <v>1</v>
      </c>
      <c r="N494" s="21">
        <v>3</v>
      </c>
      <c r="O494" s="15">
        <v>4</v>
      </c>
      <c r="P494" s="15">
        <v>3</v>
      </c>
      <c r="Q494" s="21">
        <v>4</v>
      </c>
      <c r="R494" s="15">
        <f t="shared" si="28"/>
        <v>3.6666666666666665</v>
      </c>
      <c r="S494" s="15">
        <f t="shared" si="29"/>
        <v>3.3333333333333335</v>
      </c>
      <c r="T494" s="15">
        <f t="shared" si="30"/>
        <v>2</v>
      </c>
      <c r="U494" s="15">
        <f t="shared" si="31"/>
        <v>3.6666666666666665</v>
      </c>
    </row>
    <row r="495" spans="1:21" ht="27" x14ac:dyDescent="0.3">
      <c r="A495" s="15">
        <v>7355</v>
      </c>
      <c r="B495" s="15">
        <v>10137</v>
      </c>
      <c r="C495" s="15">
        <v>1</v>
      </c>
      <c r="D495" s="15" t="s">
        <v>4</v>
      </c>
      <c r="E495" s="20" t="s">
        <v>512</v>
      </c>
      <c r="F495" s="15">
        <v>3</v>
      </c>
      <c r="G495" s="15">
        <v>2</v>
      </c>
      <c r="H495" s="21">
        <v>3</v>
      </c>
      <c r="I495" s="15">
        <v>4</v>
      </c>
      <c r="J495" s="15">
        <v>3</v>
      </c>
      <c r="K495" s="21">
        <v>3</v>
      </c>
      <c r="L495" s="15">
        <v>2</v>
      </c>
      <c r="M495" s="15">
        <v>3</v>
      </c>
      <c r="N495" s="21">
        <v>1</v>
      </c>
      <c r="O495" s="15">
        <v>4</v>
      </c>
      <c r="P495" s="15">
        <v>3</v>
      </c>
      <c r="Q495" s="21">
        <v>3</v>
      </c>
      <c r="R495" s="15">
        <f t="shared" si="28"/>
        <v>2.6666666666666665</v>
      </c>
      <c r="S495" s="15">
        <f t="shared" si="29"/>
        <v>3.3333333333333335</v>
      </c>
      <c r="T495" s="15">
        <f t="shared" si="30"/>
        <v>2</v>
      </c>
      <c r="U495" s="15">
        <f t="shared" si="31"/>
        <v>3.3333333333333335</v>
      </c>
    </row>
    <row r="496" spans="1:21" ht="54" x14ac:dyDescent="0.3">
      <c r="A496" s="15">
        <v>2478</v>
      </c>
      <c r="B496" s="15">
        <v>12895</v>
      </c>
      <c r="C496" s="15">
        <v>1</v>
      </c>
      <c r="D496" s="15" t="s">
        <v>50</v>
      </c>
      <c r="E496" s="20" t="s">
        <v>513</v>
      </c>
      <c r="F496" s="15">
        <v>4</v>
      </c>
      <c r="G496" s="15">
        <v>3</v>
      </c>
      <c r="H496" s="21">
        <v>3</v>
      </c>
      <c r="I496" s="15">
        <v>3</v>
      </c>
      <c r="J496" s="15">
        <v>3</v>
      </c>
      <c r="K496" s="21">
        <v>3</v>
      </c>
      <c r="L496" s="15">
        <v>2</v>
      </c>
      <c r="M496" s="15">
        <v>1</v>
      </c>
      <c r="N496" s="21">
        <v>3</v>
      </c>
      <c r="O496" s="15">
        <v>4</v>
      </c>
      <c r="P496" s="15">
        <v>3</v>
      </c>
      <c r="Q496" s="21">
        <v>3</v>
      </c>
      <c r="R496" s="15">
        <f t="shared" si="28"/>
        <v>3.3333333333333335</v>
      </c>
      <c r="S496" s="15">
        <f t="shared" si="29"/>
        <v>3</v>
      </c>
      <c r="T496" s="15">
        <f t="shared" si="30"/>
        <v>2</v>
      </c>
      <c r="U496" s="15">
        <f t="shared" si="31"/>
        <v>3.3333333333333335</v>
      </c>
    </row>
    <row r="497" spans="1:21" ht="108" x14ac:dyDescent="0.3">
      <c r="A497" s="15">
        <v>6157</v>
      </c>
      <c r="B497" s="15">
        <v>11385</v>
      </c>
      <c r="C497" s="15">
        <v>1</v>
      </c>
      <c r="D497" s="15" t="s">
        <v>4</v>
      </c>
      <c r="E497" s="20" t="s">
        <v>514</v>
      </c>
      <c r="F497" s="15">
        <v>4</v>
      </c>
      <c r="G497" s="15">
        <v>4</v>
      </c>
      <c r="H497" s="21">
        <v>4</v>
      </c>
      <c r="I497" s="15">
        <v>4</v>
      </c>
      <c r="J497" s="15">
        <v>3</v>
      </c>
      <c r="K497" s="21">
        <v>5</v>
      </c>
      <c r="L497" s="15">
        <v>2</v>
      </c>
      <c r="M497" s="15">
        <v>3</v>
      </c>
      <c r="N497" s="21">
        <v>3</v>
      </c>
      <c r="O497" s="15">
        <v>4</v>
      </c>
      <c r="P497" s="15">
        <v>4</v>
      </c>
      <c r="Q497" s="21">
        <v>4</v>
      </c>
      <c r="R497" s="15">
        <f t="shared" si="28"/>
        <v>4</v>
      </c>
      <c r="S497" s="15">
        <f t="shared" si="29"/>
        <v>4</v>
      </c>
      <c r="T497" s="15">
        <f t="shared" si="30"/>
        <v>2.6666666666666665</v>
      </c>
      <c r="U497" s="15">
        <f t="shared" si="31"/>
        <v>4</v>
      </c>
    </row>
    <row r="498" spans="1:21" x14ac:dyDescent="0.3">
      <c r="A498" s="15">
        <v>7397</v>
      </c>
      <c r="B498" s="15">
        <v>10454</v>
      </c>
      <c r="C498" s="15">
        <v>1</v>
      </c>
      <c r="D498" s="15" t="s">
        <v>4</v>
      </c>
      <c r="E498" s="20" t="s">
        <v>515</v>
      </c>
      <c r="F498" s="15">
        <v>3</v>
      </c>
      <c r="G498" s="15">
        <v>2</v>
      </c>
      <c r="H498" s="21">
        <v>3</v>
      </c>
      <c r="I498" s="15">
        <v>1</v>
      </c>
      <c r="J498" s="15">
        <v>1</v>
      </c>
      <c r="K498" s="21">
        <v>1</v>
      </c>
      <c r="L498" s="15">
        <v>2</v>
      </c>
      <c r="M498" s="15">
        <v>3</v>
      </c>
      <c r="N498" s="21">
        <v>2</v>
      </c>
      <c r="O498" s="15">
        <v>3</v>
      </c>
      <c r="P498" s="15">
        <v>2</v>
      </c>
      <c r="Q498" s="21">
        <v>3</v>
      </c>
      <c r="R498" s="15">
        <f t="shared" si="28"/>
        <v>2.6666666666666665</v>
      </c>
      <c r="S498" s="15">
        <f t="shared" si="29"/>
        <v>1</v>
      </c>
      <c r="T498" s="15">
        <f t="shared" si="30"/>
        <v>2.3333333333333335</v>
      </c>
      <c r="U498" s="15">
        <f t="shared" si="31"/>
        <v>2.6666666666666665</v>
      </c>
    </row>
    <row r="499" spans="1:21" ht="54" x14ac:dyDescent="0.3">
      <c r="A499" s="15">
        <v>9081</v>
      </c>
      <c r="B499" s="15">
        <v>10376</v>
      </c>
      <c r="C499" s="15">
        <v>1</v>
      </c>
      <c r="D499" s="15" t="s">
        <v>4</v>
      </c>
      <c r="E499" s="20" t="s">
        <v>516</v>
      </c>
      <c r="F499" s="15">
        <v>3</v>
      </c>
      <c r="G499" s="15">
        <v>3</v>
      </c>
      <c r="H499" s="21">
        <v>3</v>
      </c>
      <c r="I499" s="15">
        <v>3</v>
      </c>
      <c r="J499" s="15">
        <v>3</v>
      </c>
      <c r="K499" s="21">
        <v>3</v>
      </c>
      <c r="L499" s="15">
        <v>2</v>
      </c>
      <c r="M499" s="15">
        <v>1</v>
      </c>
      <c r="N499" s="21">
        <v>2</v>
      </c>
      <c r="O499" s="15">
        <v>3</v>
      </c>
      <c r="P499" s="15">
        <v>3</v>
      </c>
      <c r="Q499" s="21">
        <v>3</v>
      </c>
      <c r="R499" s="15">
        <f t="shared" si="28"/>
        <v>3</v>
      </c>
      <c r="S499" s="15">
        <f t="shared" si="29"/>
        <v>3</v>
      </c>
      <c r="T499" s="15">
        <f t="shared" si="30"/>
        <v>1.6666666666666667</v>
      </c>
      <c r="U499" s="15">
        <f t="shared" si="31"/>
        <v>3</v>
      </c>
    </row>
    <row r="500" spans="1:21" ht="54" x14ac:dyDescent="0.3">
      <c r="A500" s="15">
        <v>1495</v>
      </c>
      <c r="B500" s="15">
        <v>12540</v>
      </c>
      <c r="C500" s="15">
        <v>1</v>
      </c>
      <c r="D500" s="15" t="s">
        <v>4</v>
      </c>
      <c r="E500" s="20" t="s">
        <v>517</v>
      </c>
      <c r="F500" s="15">
        <v>3</v>
      </c>
      <c r="G500" s="15">
        <v>3</v>
      </c>
      <c r="H500" s="21">
        <v>3</v>
      </c>
      <c r="I500" s="15">
        <v>4</v>
      </c>
      <c r="J500" s="15">
        <v>2</v>
      </c>
      <c r="K500" s="21">
        <v>3</v>
      </c>
      <c r="L500" s="15">
        <v>2</v>
      </c>
      <c r="M500" s="15">
        <v>1</v>
      </c>
      <c r="N500" s="21">
        <v>3</v>
      </c>
      <c r="O500" s="15">
        <v>3</v>
      </c>
      <c r="P500" s="15">
        <v>3</v>
      </c>
      <c r="Q500" s="21">
        <v>3</v>
      </c>
      <c r="R500" s="15">
        <f t="shared" si="28"/>
        <v>3</v>
      </c>
      <c r="S500" s="15">
        <f t="shared" si="29"/>
        <v>3</v>
      </c>
      <c r="T500" s="15">
        <f t="shared" si="30"/>
        <v>2</v>
      </c>
      <c r="U500" s="15">
        <f t="shared" si="31"/>
        <v>3</v>
      </c>
    </row>
    <row r="501" spans="1:21" ht="94.5" x14ac:dyDescent="0.3">
      <c r="A501" s="15">
        <v>8600</v>
      </c>
      <c r="B501" s="15">
        <v>11855</v>
      </c>
      <c r="C501" s="15">
        <v>1</v>
      </c>
      <c r="D501" s="15" t="s">
        <v>45</v>
      </c>
      <c r="E501" s="20" t="s">
        <v>518</v>
      </c>
      <c r="F501" s="15">
        <v>4</v>
      </c>
      <c r="G501" s="15">
        <v>4</v>
      </c>
      <c r="H501" s="21">
        <v>4</v>
      </c>
      <c r="I501" s="15">
        <v>5</v>
      </c>
      <c r="J501" s="15">
        <v>2</v>
      </c>
      <c r="K501" s="21">
        <v>5</v>
      </c>
      <c r="L501" s="15">
        <v>2</v>
      </c>
      <c r="M501" s="15">
        <v>1</v>
      </c>
      <c r="N501" s="21">
        <v>3</v>
      </c>
      <c r="O501" s="15">
        <v>4</v>
      </c>
      <c r="P501" s="15">
        <v>4</v>
      </c>
      <c r="Q501" s="21">
        <v>4</v>
      </c>
      <c r="R501" s="15">
        <f t="shared" si="28"/>
        <v>4</v>
      </c>
      <c r="S501" s="15">
        <f t="shared" si="29"/>
        <v>4</v>
      </c>
      <c r="T501" s="15">
        <f t="shared" si="30"/>
        <v>2</v>
      </c>
      <c r="U501" s="15">
        <f t="shared" si="31"/>
        <v>4</v>
      </c>
    </row>
    <row r="502" spans="1:21" ht="54" x14ac:dyDescent="0.3">
      <c r="A502" s="15">
        <v>5269</v>
      </c>
      <c r="B502" s="15">
        <v>14683</v>
      </c>
      <c r="C502" s="15">
        <v>1</v>
      </c>
      <c r="D502" s="15" t="s">
        <v>4</v>
      </c>
      <c r="E502" s="20" t="s">
        <v>519</v>
      </c>
      <c r="F502" s="15">
        <v>3</v>
      </c>
      <c r="G502" s="15">
        <v>3</v>
      </c>
      <c r="H502" s="21">
        <v>4</v>
      </c>
      <c r="I502" s="15">
        <v>4</v>
      </c>
      <c r="J502" s="15">
        <v>1</v>
      </c>
      <c r="K502" s="21">
        <v>3</v>
      </c>
      <c r="L502" s="15">
        <v>2</v>
      </c>
      <c r="M502" s="15">
        <v>1</v>
      </c>
      <c r="N502" s="21">
        <v>3</v>
      </c>
      <c r="O502" s="15">
        <v>4</v>
      </c>
      <c r="P502" s="15">
        <v>3</v>
      </c>
      <c r="Q502" s="21">
        <v>4</v>
      </c>
      <c r="R502" s="15">
        <f t="shared" si="28"/>
        <v>3.3333333333333335</v>
      </c>
      <c r="S502" s="15">
        <f t="shared" si="29"/>
        <v>2.6666666666666665</v>
      </c>
      <c r="T502" s="15">
        <f t="shared" si="30"/>
        <v>2</v>
      </c>
      <c r="U502" s="15">
        <f t="shared" si="31"/>
        <v>3.6666666666666665</v>
      </c>
    </row>
    <row r="503" spans="1:21" ht="54" x14ac:dyDescent="0.3">
      <c r="A503" s="15">
        <v>5339</v>
      </c>
      <c r="B503" s="15">
        <v>14497</v>
      </c>
      <c r="C503" s="15">
        <v>1</v>
      </c>
      <c r="D503" s="15" t="s">
        <v>4</v>
      </c>
      <c r="E503" s="20" t="s">
        <v>520</v>
      </c>
      <c r="F503" s="15">
        <v>4</v>
      </c>
      <c r="G503" s="15">
        <v>3</v>
      </c>
      <c r="H503" s="21">
        <v>4</v>
      </c>
      <c r="I503" s="15">
        <v>3</v>
      </c>
      <c r="J503" s="15">
        <v>1</v>
      </c>
      <c r="K503" s="21">
        <v>3</v>
      </c>
      <c r="L503" s="15">
        <v>2</v>
      </c>
      <c r="M503" s="15">
        <v>1</v>
      </c>
      <c r="N503" s="21">
        <v>3</v>
      </c>
      <c r="O503" s="15">
        <v>4</v>
      </c>
      <c r="P503" s="15">
        <v>3</v>
      </c>
      <c r="Q503" s="21">
        <v>4</v>
      </c>
      <c r="R503" s="15">
        <f t="shared" si="28"/>
        <v>3.6666666666666665</v>
      </c>
      <c r="S503" s="15">
        <f t="shared" si="29"/>
        <v>2.3333333333333335</v>
      </c>
      <c r="T503" s="15">
        <f t="shared" si="30"/>
        <v>2</v>
      </c>
      <c r="U503" s="15">
        <f t="shared" si="31"/>
        <v>3.6666666666666665</v>
      </c>
    </row>
    <row r="504" spans="1:21" ht="67.5" x14ac:dyDescent="0.3">
      <c r="A504" s="15">
        <v>9977</v>
      </c>
      <c r="B504" s="15">
        <v>14299</v>
      </c>
      <c r="C504" s="15">
        <v>1</v>
      </c>
      <c r="D504" s="15" t="s">
        <v>4</v>
      </c>
      <c r="E504" s="20" t="s">
        <v>521</v>
      </c>
      <c r="F504" s="15">
        <v>3</v>
      </c>
      <c r="G504" s="15">
        <v>3</v>
      </c>
      <c r="H504" s="21">
        <v>4</v>
      </c>
      <c r="I504" s="15">
        <v>4</v>
      </c>
      <c r="J504" s="15">
        <v>3</v>
      </c>
      <c r="K504" s="21">
        <v>3</v>
      </c>
      <c r="L504" s="15">
        <v>2</v>
      </c>
      <c r="M504" s="15">
        <v>1</v>
      </c>
      <c r="N504" s="21">
        <v>3</v>
      </c>
      <c r="O504" s="15">
        <v>4</v>
      </c>
      <c r="P504" s="15">
        <v>3</v>
      </c>
      <c r="Q504" s="21">
        <v>4</v>
      </c>
      <c r="R504" s="15">
        <f t="shared" si="28"/>
        <v>3.3333333333333335</v>
      </c>
      <c r="S504" s="15">
        <f t="shared" si="29"/>
        <v>3.3333333333333335</v>
      </c>
      <c r="T504" s="15">
        <f t="shared" si="30"/>
        <v>2</v>
      </c>
      <c r="U504" s="15">
        <f t="shared" si="31"/>
        <v>3.6666666666666665</v>
      </c>
    </row>
    <row r="505" spans="1:21" ht="81" x14ac:dyDescent="0.3">
      <c r="A505" s="15">
        <v>13861</v>
      </c>
      <c r="B505" s="15">
        <v>14222</v>
      </c>
      <c r="C505" s="15">
        <v>1</v>
      </c>
      <c r="D505" s="15" t="s">
        <v>4</v>
      </c>
      <c r="E505" s="20" t="s">
        <v>522</v>
      </c>
      <c r="F505" s="15">
        <v>4</v>
      </c>
      <c r="G505" s="15">
        <v>4</v>
      </c>
      <c r="H505" s="21">
        <v>4</v>
      </c>
      <c r="I505" s="15">
        <v>4</v>
      </c>
      <c r="J505" s="15">
        <v>3</v>
      </c>
      <c r="K505" s="21">
        <v>5</v>
      </c>
      <c r="L505" s="15">
        <v>3</v>
      </c>
      <c r="M505" s="15">
        <v>3</v>
      </c>
      <c r="N505" s="21">
        <v>3</v>
      </c>
      <c r="O505" s="15">
        <v>4</v>
      </c>
      <c r="P505" s="15">
        <v>4</v>
      </c>
      <c r="Q505" s="21">
        <v>4</v>
      </c>
      <c r="R505" s="15">
        <f t="shared" si="28"/>
        <v>4</v>
      </c>
      <c r="S505" s="15">
        <f t="shared" si="29"/>
        <v>4</v>
      </c>
      <c r="T505" s="15">
        <f t="shared" si="30"/>
        <v>3</v>
      </c>
      <c r="U505" s="15">
        <f t="shared" si="31"/>
        <v>4</v>
      </c>
    </row>
    <row r="506" spans="1:21" ht="40.5" x14ac:dyDescent="0.3">
      <c r="A506" s="15">
        <v>3690</v>
      </c>
      <c r="B506" s="15">
        <v>10173</v>
      </c>
      <c r="C506" s="15">
        <v>1</v>
      </c>
      <c r="D506" s="15" t="s">
        <v>4</v>
      </c>
      <c r="E506" s="20" t="s">
        <v>523</v>
      </c>
      <c r="F506" s="15">
        <v>3</v>
      </c>
      <c r="G506" s="15">
        <v>3</v>
      </c>
      <c r="H506" s="21">
        <v>4</v>
      </c>
      <c r="I506" s="15">
        <v>3</v>
      </c>
      <c r="J506" s="15">
        <v>3</v>
      </c>
      <c r="K506" s="21">
        <v>3</v>
      </c>
      <c r="L506" s="15">
        <v>2</v>
      </c>
      <c r="M506" s="15">
        <v>1</v>
      </c>
      <c r="N506" s="21">
        <v>3</v>
      </c>
      <c r="O506" s="15">
        <v>4</v>
      </c>
      <c r="P506" s="15">
        <v>3</v>
      </c>
      <c r="Q506" s="21">
        <v>4</v>
      </c>
      <c r="R506" s="15">
        <f t="shared" si="28"/>
        <v>3.3333333333333335</v>
      </c>
      <c r="S506" s="15">
        <f t="shared" si="29"/>
        <v>3</v>
      </c>
      <c r="T506" s="15">
        <f t="shared" si="30"/>
        <v>2</v>
      </c>
      <c r="U506" s="15">
        <f t="shared" si="31"/>
        <v>3.6666666666666665</v>
      </c>
    </row>
    <row r="507" spans="1:21" ht="81" x14ac:dyDescent="0.3">
      <c r="A507" s="15">
        <v>9545</v>
      </c>
      <c r="B507" s="15">
        <v>13660</v>
      </c>
      <c r="C507" s="15">
        <v>1</v>
      </c>
      <c r="D507" s="15" t="s">
        <v>4</v>
      </c>
      <c r="E507" s="20" t="s">
        <v>524</v>
      </c>
      <c r="F507" s="15">
        <v>4</v>
      </c>
      <c r="G507" s="15">
        <v>3</v>
      </c>
      <c r="H507" s="21">
        <v>3</v>
      </c>
      <c r="I507" s="15">
        <v>4</v>
      </c>
      <c r="J507" s="15">
        <v>3</v>
      </c>
      <c r="K507" s="21">
        <v>3</v>
      </c>
      <c r="L507" s="15">
        <v>3</v>
      </c>
      <c r="M507" s="15">
        <v>1</v>
      </c>
      <c r="N507" s="21">
        <v>2</v>
      </c>
      <c r="O507" s="15">
        <v>4</v>
      </c>
      <c r="P507" s="15">
        <v>3</v>
      </c>
      <c r="Q507" s="21">
        <v>3</v>
      </c>
      <c r="R507" s="15">
        <f t="shared" si="28"/>
        <v>3.3333333333333335</v>
      </c>
      <c r="S507" s="15">
        <f t="shared" si="29"/>
        <v>3.3333333333333335</v>
      </c>
      <c r="T507" s="15">
        <f t="shared" si="30"/>
        <v>2</v>
      </c>
      <c r="U507" s="15">
        <f t="shared" si="31"/>
        <v>3.3333333333333335</v>
      </c>
    </row>
    <row r="508" spans="1:21" ht="81" x14ac:dyDescent="0.3">
      <c r="A508" s="15">
        <v>29</v>
      </c>
      <c r="B508" s="15">
        <v>10333</v>
      </c>
      <c r="C508" s="15">
        <v>1</v>
      </c>
      <c r="D508" s="15" t="s">
        <v>4</v>
      </c>
      <c r="E508" s="20" t="s">
        <v>525</v>
      </c>
      <c r="F508" s="15">
        <v>4</v>
      </c>
      <c r="G508" s="15">
        <v>3</v>
      </c>
      <c r="H508" s="21">
        <v>4</v>
      </c>
      <c r="I508" s="15">
        <v>4</v>
      </c>
      <c r="J508" s="15">
        <v>2</v>
      </c>
      <c r="K508" s="21">
        <v>3</v>
      </c>
      <c r="L508" s="15">
        <v>2</v>
      </c>
      <c r="M508" s="15">
        <v>1</v>
      </c>
      <c r="N508" s="21">
        <v>3</v>
      </c>
      <c r="O508" s="15">
        <v>4</v>
      </c>
      <c r="P508" s="15">
        <v>3</v>
      </c>
      <c r="Q508" s="21">
        <v>4</v>
      </c>
      <c r="R508" s="15">
        <f t="shared" si="28"/>
        <v>3.6666666666666665</v>
      </c>
      <c r="S508" s="15">
        <f t="shared" si="29"/>
        <v>3</v>
      </c>
      <c r="T508" s="15">
        <f t="shared" si="30"/>
        <v>2</v>
      </c>
      <c r="U508" s="15">
        <f t="shared" si="31"/>
        <v>3.6666666666666665</v>
      </c>
    </row>
    <row r="509" spans="1:21" ht="40.5" x14ac:dyDescent="0.3">
      <c r="A509" s="15">
        <v>318</v>
      </c>
      <c r="B509" s="15">
        <v>10892</v>
      </c>
      <c r="C509" s="15">
        <v>1</v>
      </c>
      <c r="D509" s="15" t="s">
        <v>231</v>
      </c>
      <c r="E509" s="20" t="s">
        <v>526</v>
      </c>
      <c r="F509" s="15">
        <v>3</v>
      </c>
      <c r="G509" s="15">
        <v>2</v>
      </c>
      <c r="H509" s="21">
        <v>3</v>
      </c>
      <c r="I509" s="15">
        <v>3</v>
      </c>
      <c r="J509" s="15">
        <v>1</v>
      </c>
      <c r="K509" s="21">
        <v>3</v>
      </c>
      <c r="L509" s="15">
        <v>2</v>
      </c>
      <c r="M509" s="15">
        <v>1</v>
      </c>
      <c r="N509" s="21">
        <v>3</v>
      </c>
      <c r="O509" s="15">
        <v>4</v>
      </c>
      <c r="P509" s="15">
        <v>3</v>
      </c>
      <c r="Q509" s="21">
        <v>3</v>
      </c>
      <c r="R509" s="15">
        <f t="shared" si="28"/>
        <v>2.6666666666666665</v>
      </c>
      <c r="S509" s="15">
        <f t="shared" si="29"/>
        <v>2.3333333333333335</v>
      </c>
      <c r="T509" s="15">
        <f t="shared" si="30"/>
        <v>2</v>
      </c>
      <c r="U509" s="15">
        <f t="shared" si="31"/>
        <v>3.3333333333333335</v>
      </c>
    </row>
    <row r="510" spans="1:21" ht="40.5" x14ac:dyDescent="0.3">
      <c r="A510" s="15">
        <v>11620</v>
      </c>
      <c r="B510" s="15">
        <v>10905</v>
      </c>
      <c r="C510" s="15">
        <v>1</v>
      </c>
      <c r="D510" s="15" t="s">
        <v>191</v>
      </c>
      <c r="E510" s="20" t="s">
        <v>527</v>
      </c>
      <c r="F510" s="15">
        <v>3</v>
      </c>
      <c r="G510" s="15">
        <v>3</v>
      </c>
      <c r="H510" s="21">
        <v>3</v>
      </c>
      <c r="I510" s="15">
        <v>3</v>
      </c>
      <c r="J510" s="15">
        <v>3</v>
      </c>
      <c r="K510" s="21">
        <v>3</v>
      </c>
      <c r="L510" s="15">
        <v>2</v>
      </c>
      <c r="M510" s="15">
        <v>1</v>
      </c>
      <c r="N510" s="21">
        <v>1</v>
      </c>
      <c r="O510" s="15">
        <v>4</v>
      </c>
      <c r="P510" s="15">
        <v>3</v>
      </c>
      <c r="Q510" s="21">
        <v>3</v>
      </c>
      <c r="R510" s="15">
        <f t="shared" si="28"/>
        <v>3</v>
      </c>
      <c r="S510" s="15">
        <f t="shared" si="29"/>
        <v>3</v>
      </c>
      <c r="T510" s="15">
        <f t="shared" si="30"/>
        <v>1.3333333333333333</v>
      </c>
      <c r="U510" s="15">
        <f t="shared" si="31"/>
        <v>3.3333333333333335</v>
      </c>
    </row>
    <row r="511" spans="1:21" ht="67.5" x14ac:dyDescent="0.3">
      <c r="A511" s="15">
        <v>5674</v>
      </c>
      <c r="B511" s="15">
        <v>13551</v>
      </c>
      <c r="C511" s="15">
        <v>1</v>
      </c>
      <c r="D511" s="15" t="s">
        <v>11</v>
      </c>
      <c r="E511" s="20" t="s">
        <v>528</v>
      </c>
      <c r="F511" s="15">
        <v>3</v>
      </c>
      <c r="G511" s="15">
        <v>3</v>
      </c>
      <c r="H511" s="21">
        <v>4</v>
      </c>
      <c r="I511" s="15">
        <v>4</v>
      </c>
      <c r="J511" s="15">
        <v>3</v>
      </c>
      <c r="K511" s="21">
        <v>3</v>
      </c>
      <c r="L511" s="15">
        <v>2</v>
      </c>
      <c r="M511" s="15">
        <v>2</v>
      </c>
      <c r="N511" s="21">
        <v>3</v>
      </c>
      <c r="O511" s="15">
        <v>4</v>
      </c>
      <c r="P511" s="15">
        <v>3</v>
      </c>
      <c r="Q511" s="21">
        <v>4</v>
      </c>
      <c r="R511" s="15">
        <f t="shared" si="28"/>
        <v>3.3333333333333335</v>
      </c>
      <c r="S511" s="15">
        <f t="shared" si="29"/>
        <v>3.3333333333333335</v>
      </c>
      <c r="T511" s="15">
        <f t="shared" si="30"/>
        <v>2.3333333333333335</v>
      </c>
      <c r="U511" s="15">
        <f t="shared" si="31"/>
        <v>3.6666666666666665</v>
      </c>
    </row>
    <row r="512" spans="1:21" x14ac:dyDescent="0.3">
      <c r="A512" s="15">
        <v>13240</v>
      </c>
      <c r="B512" s="15">
        <v>10728</v>
      </c>
      <c r="C512" s="15">
        <v>1</v>
      </c>
      <c r="D512" s="15" t="s">
        <v>4</v>
      </c>
      <c r="E512" s="20" t="s">
        <v>529</v>
      </c>
      <c r="F512" s="15">
        <v>3</v>
      </c>
      <c r="G512" s="15">
        <v>3</v>
      </c>
      <c r="H512" s="21">
        <v>3</v>
      </c>
      <c r="I512" s="15">
        <v>1</v>
      </c>
      <c r="J512" s="15">
        <v>1</v>
      </c>
      <c r="K512" s="21">
        <v>1</v>
      </c>
      <c r="L512" s="15">
        <v>2</v>
      </c>
      <c r="M512" s="15">
        <v>1</v>
      </c>
      <c r="N512" s="21">
        <v>2</v>
      </c>
      <c r="O512" s="15">
        <v>3</v>
      </c>
      <c r="P512" s="15">
        <v>3</v>
      </c>
      <c r="Q512" s="21">
        <v>3</v>
      </c>
      <c r="R512" s="15">
        <f t="shared" si="28"/>
        <v>3</v>
      </c>
      <c r="S512" s="15">
        <f t="shared" si="29"/>
        <v>1</v>
      </c>
      <c r="T512" s="15">
        <f t="shared" si="30"/>
        <v>1.6666666666666667</v>
      </c>
      <c r="U512" s="15">
        <f t="shared" si="31"/>
        <v>3</v>
      </c>
    </row>
    <row r="513" spans="1:21" ht="67.5" x14ac:dyDescent="0.3">
      <c r="A513" s="15">
        <v>13175</v>
      </c>
      <c r="B513" s="15">
        <v>13741</v>
      </c>
      <c r="C513" s="15">
        <v>1</v>
      </c>
      <c r="D513" s="15" t="s">
        <v>11</v>
      </c>
      <c r="E513" s="20" t="s">
        <v>530</v>
      </c>
      <c r="F513" s="15">
        <v>3</v>
      </c>
      <c r="G513" s="15">
        <v>3</v>
      </c>
      <c r="H513" s="21">
        <v>3</v>
      </c>
      <c r="I513" s="15">
        <v>3</v>
      </c>
      <c r="J513" s="15">
        <v>3</v>
      </c>
      <c r="K513" s="21">
        <v>3</v>
      </c>
      <c r="L513" s="15">
        <v>2</v>
      </c>
      <c r="M513" s="15">
        <v>1</v>
      </c>
      <c r="N513" s="21">
        <v>2</v>
      </c>
      <c r="O513" s="15">
        <v>4</v>
      </c>
      <c r="P513" s="15">
        <v>3</v>
      </c>
      <c r="Q513" s="21">
        <v>3</v>
      </c>
      <c r="R513" s="15">
        <f t="shared" si="28"/>
        <v>3</v>
      </c>
      <c r="S513" s="15">
        <f t="shared" si="29"/>
        <v>3</v>
      </c>
      <c r="T513" s="15">
        <f t="shared" si="30"/>
        <v>1.6666666666666667</v>
      </c>
      <c r="U513" s="15">
        <f t="shared" si="31"/>
        <v>3.3333333333333335</v>
      </c>
    </row>
    <row r="514" spans="1:21" ht="40.5" x14ac:dyDescent="0.3">
      <c r="A514" s="15">
        <v>2006</v>
      </c>
      <c r="B514" s="15">
        <v>13635</v>
      </c>
      <c r="C514" s="15">
        <v>1</v>
      </c>
      <c r="D514" s="15" t="s">
        <v>11</v>
      </c>
      <c r="E514" s="20" t="s">
        <v>531</v>
      </c>
      <c r="F514" s="15">
        <v>3</v>
      </c>
      <c r="G514" s="15">
        <v>3</v>
      </c>
      <c r="H514" s="21">
        <v>4</v>
      </c>
      <c r="I514" s="15">
        <v>3</v>
      </c>
      <c r="J514" s="15">
        <v>1</v>
      </c>
      <c r="K514" s="21">
        <v>3</v>
      </c>
      <c r="L514" s="15">
        <v>2</v>
      </c>
      <c r="M514" s="15">
        <v>1</v>
      </c>
      <c r="N514" s="21">
        <v>3</v>
      </c>
      <c r="O514" s="15">
        <v>4</v>
      </c>
      <c r="P514" s="15">
        <v>3</v>
      </c>
      <c r="Q514" s="21">
        <v>4</v>
      </c>
      <c r="R514" s="15">
        <f t="shared" si="28"/>
        <v>3.3333333333333335</v>
      </c>
      <c r="S514" s="15">
        <f t="shared" si="29"/>
        <v>2.3333333333333335</v>
      </c>
      <c r="T514" s="15">
        <f t="shared" si="30"/>
        <v>2</v>
      </c>
      <c r="U514" s="15">
        <f t="shared" si="31"/>
        <v>3.6666666666666665</v>
      </c>
    </row>
    <row r="515" spans="1:21" ht="54" x14ac:dyDescent="0.3">
      <c r="A515" s="15">
        <v>9526</v>
      </c>
      <c r="B515" s="15">
        <v>12796</v>
      </c>
      <c r="C515" s="15">
        <v>1</v>
      </c>
      <c r="D515" s="15" t="s">
        <v>13</v>
      </c>
      <c r="E515" s="20" t="s">
        <v>532</v>
      </c>
      <c r="F515" s="15">
        <v>4</v>
      </c>
      <c r="G515" s="15">
        <v>3</v>
      </c>
      <c r="H515" s="21">
        <v>4</v>
      </c>
      <c r="I515" s="15">
        <v>3</v>
      </c>
      <c r="J515" s="15">
        <v>2</v>
      </c>
      <c r="K515" s="21">
        <v>3</v>
      </c>
      <c r="L515" s="15">
        <v>2</v>
      </c>
      <c r="M515" s="15">
        <v>1</v>
      </c>
      <c r="N515" s="21">
        <v>3</v>
      </c>
      <c r="O515" s="15">
        <v>4</v>
      </c>
      <c r="P515" s="15">
        <v>3</v>
      </c>
      <c r="Q515" s="21">
        <v>4</v>
      </c>
      <c r="R515" s="15">
        <f t="shared" ref="R515:R521" si="32">AVERAGE(F515:H515)</f>
        <v>3.6666666666666665</v>
      </c>
      <c r="S515" s="15">
        <f t="shared" ref="S515:S521" si="33">AVERAGE(I515:K515)</f>
        <v>2.6666666666666665</v>
      </c>
      <c r="T515" s="15">
        <f t="shared" ref="T515:T521" si="34">AVERAGE(L515:N515)</f>
        <v>2</v>
      </c>
      <c r="U515" s="15">
        <f t="shared" ref="U515:U521" si="35">AVERAGE(O515:Q515)</f>
        <v>3.6666666666666665</v>
      </c>
    </row>
    <row r="516" spans="1:21" ht="67.5" x14ac:dyDescent="0.3">
      <c r="A516" s="15">
        <v>2676</v>
      </c>
      <c r="B516" s="15">
        <v>13731</v>
      </c>
      <c r="C516" s="15">
        <v>1</v>
      </c>
      <c r="D516" s="15" t="s">
        <v>11</v>
      </c>
      <c r="E516" s="20" t="s">
        <v>533</v>
      </c>
      <c r="F516" s="15">
        <v>3</v>
      </c>
      <c r="G516" s="15">
        <v>3</v>
      </c>
      <c r="H516" s="21">
        <v>4</v>
      </c>
      <c r="I516" s="15">
        <v>3</v>
      </c>
      <c r="J516" s="15">
        <v>1</v>
      </c>
      <c r="K516" s="21">
        <v>3</v>
      </c>
      <c r="L516" s="15">
        <v>3</v>
      </c>
      <c r="M516" s="15">
        <v>1</v>
      </c>
      <c r="N516" s="21">
        <v>3</v>
      </c>
      <c r="O516" s="15">
        <v>3</v>
      </c>
      <c r="P516" s="15">
        <v>3</v>
      </c>
      <c r="Q516" s="21">
        <v>4</v>
      </c>
      <c r="R516" s="15">
        <f t="shared" si="32"/>
        <v>3.3333333333333335</v>
      </c>
      <c r="S516" s="15">
        <f t="shared" si="33"/>
        <v>2.3333333333333335</v>
      </c>
      <c r="T516" s="15">
        <f t="shared" si="34"/>
        <v>2.3333333333333335</v>
      </c>
      <c r="U516" s="15">
        <f t="shared" si="35"/>
        <v>3.3333333333333335</v>
      </c>
    </row>
    <row r="517" spans="1:21" ht="121.5" x14ac:dyDescent="0.3">
      <c r="A517" s="15">
        <v>3341</v>
      </c>
      <c r="B517" s="15">
        <v>14062</v>
      </c>
      <c r="C517" s="15">
        <v>1</v>
      </c>
      <c r="D517" s="15" t="s">
        <v>11</v>
      </c>
      <c r="E517" s="20" t="s">
        <v>534</v>
      </c>
      <c r="F517" s="15">
        <v>4</v>
      </c>
      <c r="G517" s="15">
        <v>3</v>
      </c>
      <c r="H517" s="21">
        <v>3</v>
      </c>
      <c r="I517" s="15">
        <v>5</v>
      </c>
      <c r="J517" s="15">
        <v>5</v>
      </c>
      <c r="K517" s="21">
        <v>5</v>
      </c>
      <c r="L517" s="15">
        <v>2</v>
      </c>
      <c r="M517" s="15">
        <v>2</v>
      </c>
      <c r="N517" s="21">
        <v>3</v>
      </c>
      <c r="O517" s="15">
        <v>4</v>
      </c>
      <c r="P517" s="15">
        <v>3</v>
      </c>
      <c r="Q517" s="21">
        <v>4</v>
      </c>
      <c r="R517" s="15">
        <f t="shared" si="32"/>
        <v>3.3333333333333335</v>
      </c>
      <c r="S517" s="15">
        <f t="shared" si="33"/>
        <v>5</v>
      </c>
      <c r="T517" s="15">
        <f t="shared" si="34"/>
        <v>2.3333333333333335</v>
      </c>
      <c r="U517" s="15">
        <f t="shared" si="35"/>
        <v>3.6666666666666665</v>
      </c>
    </row>
    <row r="518" spans="1:21" ht="54" x14ac:dyDescent="0.3">
      <c r="A518" s="15">
        <v>2957</v>
      </c>
      <c r="B518" s="15">
        <v>14135</v>
      </c>
      <c r="C518" s="15">
        <v>1</v>
      </c>
      <c r="D518" s="15" t="s">
        <v>11</v>
      </c>
      <c r="E518" s="20" t="s">
        <v>535</v>
      </c>
      <c r="F518" s="15">
        <v>3</v>
      </c>
      <c r="G518" s="15">
        <v>3</v>
      </c>
      <c r="H518" s="21">
        <v>3</v>
      </c>
      <c r="I518" s="15">
        <v>3</v>
      </c>
      <c r="J518" s="15">
        <v>3</v>
      </c>
      <c r="K518" s="21">
        <v>3</v>
      </c>
      <c r="L518" s="15">
        <v>2</v>
      </c>
      <c r="M518" s="15">
        <v>1</v>
      </c>
      <c r="N518" s="21">
        <v>3</v>
      </c>
      <c r="O518" s="15">
        <v>4</v>
      </c>
      <c r="P518" s="15">
        <v>3</v>
      </c>
      <c r="Q518" s="21">
        <v>3</v>
      </c>
      <c r="R518" s="15">
        <f t="shared" si="32"/>
        <v>3</v>
      </c>
      <c r="S518" s="15">
        <f t="shared" si="33"/>
        <v>3</v>
      </c>
      <c r="T518" s="15">
        <f t="shared" si="34"/>
        <v>2</v>
      </c>
      <c r="U518" s="15">
        <f t="shared" si="35"/>
        <v>3.3333333333333335</v>
      </c>
    </row>
    <row r="519" spans="1:21" ht="40.5" x14ac:dyDescent="0.3">
      <c r="A519" s="15">
        <v>3420</v>
      </c>
      <c r="B519" s="15">
        <v>12441</v>
      </c>
      <c r="C519" s="15">
        <v>1</v>
      </c>
      <c r="D519" s="15" t="s">
        <v>4</v>
      </c>
      <c r="E519" s="20" t="s">
        <v>536</v>
      </c>
      <c r="F519" s="15">
        <v>3</v>
      </c>
      <c r="G519" s="15">
        <v>3</v>
      </c>
      <c r="H519" s="21">
        <v>3</v>
      </c>
      <c r="I519" s="15">
        <v>3</v>
      </c>
      <c r="J519" s="15">
        <v>3</v>
      </c>
      <c r="K519" s="21">
        <v>3</v>
      </c>
      <c r="L519" s="15">
        <v>2</v>
      </c>
      <c r="M519" s="15">
        <v>1</v>
      </c>
      <c r="N519" s="21">
        <v>3</v>
      </c>
      <c r="O519" s="15">
        <v>3</v>
      </c>
      <c r="P519" s="15">
        <v>3</v>
      </c>
      <c r="Q519" s="21">
        <v>3</v>
      </c>
      <c r="R519" s="15">
        <f t="shared" si="32"/>
        <v>3</v>
      </c>
      <c r="S519" s="15">
        <f t="shared" si="33"/>
        <v>3</v>
      </c>
      <c r="T519" s="15">
        <f t="shared" si="34"/>
        <v>2</v>
      </c>
      <c r="U519" s="15">
        <f t="shared" si="35"/>
        <v>3</v>
      </c>
    </row>
    <row r="520" spans="1:21" ht="54" x14ac:dyDescent="0.3">
      <c r="A520" s="15">
        <v>5827</v>
      </c>
      <c r="B520" s="15">
        <v>13087</v>
      </c>
      <c r="C520" s="15">
        <v>1</v>
      </c>
      <c r="D520" s="15" t="s">
        <v>4</v>
      </c>
      <c r="E520" s="20" t="s">
        <v>537</v>
      </c>
      <c r="F520" s="15">
        <v>3</v>
      </c>
      <c r="G520" s="15">
        <v>3</v>
      </c>
      <c r="H520" s="21">
        <v>4</v>
      </c>
      <c r="I520" s="15">
        <v>3</v>
      </c>
      <c r="J520" s="15">
        <v>3</v>
      </c>
      <c r="K520" s="21">
        <v>3</v>
      </c>
      <c r="L520" s="15">
        <v>2</v>
      </c>
      <c r="M520" s="15">
        <v>1</v>
      </c>
      <c r="N520" s="21">
        <v>3</v>
      </c>
      <c r="O520" s="15">
        <v>4</v>
      </c>
      <c r="P520" s="15">
        <v>3</v>
      </c>
      <c r="Q520" s="21">
        <v>4</v>
      </c>
      <c r="R520" s="15">
        <f t="shared" si="32"/>
        <v>3.3333333333333335</v>
      </c>
      <c r="S520" s="15">
        <f t="shared" si="33"/>
        <v>3</v>
      </c>
      <c r="T520" s="15">
        <f t="shared" si="34"/>
        <v>2</v>
      </c>
      <c r="U520" s="15">
        <f t="shared" si="35"/>
        <v>3.6666666666666665</v>
      </c>
    </row>
    <row r="521" spans="1:21" ht="54" x14ac:dyDescent="0.3">
      <c r="A521" s="15">
        <v>16146</v>
      </c>
      <c r="B521" s="15">
        <v>14686</v>
      </c>
      <c r="C521" s="15">
        <v>1</v>
      </c>
      <c r="D521" s="15" t="s">
        <v>4</v>
      </c>
      <c r="E521" s="20" t="s">
        <v>538</v>
      </c>
      <c r="F521" s="15">
        <v>4</v>
      </c>
      <c r="G521" s="15">
        <v>3</v>
      </c>
      <c r="H521" s="21">
        <v>4</v>
      </c>
      <c r="I521" s="15">
        <v>3</v>
      </c>
      <c r="J521" s="15">
        <v>3</v>
      </c>
      <c r="K521" s="21">
        <v>3</v>
      </c>
      <c r="L521" s="15">
        <v>2</v>
      </c>
      <c r="M521" s="15">
        <v>3</v>
      </c>
      <c r="N521" s="21">
        <v>3</v>
      </c>
      <c r="O521" s="15">
        <v>4</v>
      </c>
      <c r="P521" s="15">
        <v>3</v>
      </c>
      <c r="Q521" s="21">
        <v>4</v>
      </c>
      <c r="R521" s="15">
        <f t="shared" si="32"/>
        <v>3.6666666666666665</v>
      </c>
      <c r="S521" s="15">
        <f t="shared" si="33"/>
        <v>3</v>
      </c>
      <c r="T521" s="15">
        <f t="shared" si="34"/>
        <v>2.6666666666666665</v>
      </c>
      <c r="U521" s="15">
        <f t="shared" si="35"/>
        <v>3.6666666666666665</v>
      </c>
    </row>
    <row r="522" spans="1:21" x14ac:dyDescent="0.3">
      <c r="F522">
        <f t="shared" ref="F522:P522" si="36">SUM(F2:F521)</f>
        <v>1801</v>
      </c>
      <c r="G522">
        <f t="shared" si="36"/>
        <v>1590</v>
      </c>
      <c r="H522">
        <f t="shared" si="36"/>
        <v>1804</v>
      </c>
      <c r="I522">
        <f t="shared" si="36"/>
        <v>1681</v>
      </c>
      <c r="J522">
        <f t="shared" si="36"/>
        <v>1356</v>
      </c>
      <c r="K522">
        <f t="shared" si="36"/>
        <v>1715</v>
      </c>
      <c r="L522">
        <f t="shared" si="36"/>
        <v>1103</v>
      </c>
      <c r="M522">
        <f>SUM(M2:M521)</f>
        <v>748</v>
      </c>
      <c r="N522">
        <f t="shared" si="36"/>
        <v>1342</v>
      </c>
      <c r="O522">
        <f t="shared" si="36"/>
        <v>1944</v>
      </c>
      <c r="P522">
        <f t="shared" si="36"/>
        <v>1566</v>
      </c>
      <c r="Q522">
        <f>SUM(Q2:Q521)</f>
        <v>1821</v>
      </c>
      <c r="R522">
        <f t="shared" ref="R522" si="37">SUM(R2:R521)</f>
        <v>1731.6666666666672</v>
      </c>
      <c r="S522">
        <f t="shared" ref="S522" si="38">SUM(S2:S521)</f>
        <v>1583.9999999999977</v>
      </c>
      <c r="T522">
        <f t="shared" ref="T522" si="39">SUM(T2:T521)</f>
        <v>1064.3333333333333</v>
      </c>
      <c r="U522">
        <f t="shared" ref="U522" si="40">SUM(U2:U521)</f>
        <v>1776.9999999999982</v>
      </c>
    </row>
    <row r="523" spans="1:21" x14ac:dyDescent="0.3">
      <c r="F523" s="23">
        <f t="shared" ref="F523:T523" si="41">AVERAGE(F2:F521)</f>
        <v>3.4634615384615386</v>
      </c>
      <c r="G523" s="23">
        <f t="shared" si="41"/>
        <v>3.0576923076923075</v>
      </c>
      <c r="H523" s="23">
        <f t="shared" si="41"/>
        <v>3.4692307692307693</v>
      </c>
      <c r="I523" s="23">
        <f t="shared" si="41"/>
        <v>3.2326923076923078</v>
      </c>
      <c r="J523" s="23">
        <f t="shared" si="41"/>
        <v>2.6076923076923078</v>
      </c>
      <c r="K523" s="23">
        <f t="shared" si="41"/>
        <v>3.2980769230769229</v>
      </c>
      <c r="L523" s="23">
        <f t="shared" si="41"/>
        <v>2.1211538461538462</v>
      </c>
      <c r="M523" s="23">
        <f t="shared" si="41"/>
        <v>1.4384615384615385</v>
      </c>
      <c r="N523" s="23">
        <f t="shared" si="41"/>
        <v>2.5807692307692309</v>
      </c>
      <c r="O523" s="23">
        <f t="shared" si="41"/>
        <v>3.7384615384615385</v>
      </c>
      <c r="P523" s="23">
        <f t="shared" si="41"/>
        <v>3.0115384615384615</v>
      </c>
      <c r="Q523" s="23">
        <f t="shared" si="41"/>
        <v>3.5019230769230769</v>
      </c>
      <c r="R523" s="23">
        <f t="shared" si="41"/>
        <v>3.3301282051282062</v>
      </c>
      <c r="S523" s="23">
        <f t="shared" si="41"/>
        <v>3.046153846153842</v>
      </c>
      <c r="T523" s="23">
        <f t="shared" si="41"/>
        <v>2.0467948717948716</v>
      </c>
      <c r="U523" s="23">
        <f>AVERAGE(U2:U521)</f>
        <v>3.4173076923076886</v>
      </c>
    </row>
  </sheetData>
  <phoneticPr fontId="1" type="noConversion"/>
  <conditionalFormatting sqref="R1:U521 R524:U1048576 F523:U523">
    <cfRule type="cellIs" dxfId="0" priority="1" operator="greaterThan">
      <formula>7.166666667</formula>
    </cfRule>
  </conditionalFormatting>
  <dataValidations count="1">
    <dataValidation type="list" allowBlank="1" showInputMessage="1" showErrorMessage="1" sqref="G2:G521 J2:J521 P2:P521 M2:M521" xr:uid="{D3FF1480-C110-4337-883C-E2BE0AB71D7E}">
      <formula1>"1,2,3,4,5"</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53404-2C66-4158-902C-14293B4217FE}">
  <dimension ref="A1:E5"/>
  <sheetViews>
    <sheetView zoomScale="145" zoomScaleNormal="145" workbookViewId="0">
      <selection activeCell="E5" sqref="E5"/>
    </sheetView>
  </sheetViews>
  <sheetFormatPr defaultRowHeight="13.5" x14ac:dyDescent="0.3"/>
  <cols>
    <col min="2" max="2" width="16.46484375" customWidth="1"/>
    <col min="3" max="3" width="16" customWidth="1"/>
    <col min="4" max="4" width="15.33203125" customWidth="1"/>
    <col min="5" max="5" width="19.86328125" customWidth="1"/>
  </cols>
  <sheetData>
    <row r="1" spans="1:5" x14ac:dyDescent="0.3">
      <c r="A1" s="3" t="s">
        <v>549</v>
      </c>
      <c r="B1" s="3" t="s">
        <v>539</v>
      </c>
      <c r="C1" s="3" t="s">
        <v>540</v>
      </c>
      <c r="D1" s="3" t="s">
        <v>541</v>
      </c>
      <c r="E1" s="3" t="s">
        <v>550</v>
      </c>
    </row>
    <row r="2" spans="1:5" ht="21.6" customHeight="1" x14ac:dyDescent="0.3">
      <c r="A2" s="3" t="s">
        <v>551</v>
      </c>
      <c r="B2">
        <v>1801</v>
      </c>
      <c r="C2">
        <v>1681</v>
      </c>
      <c r="D2">
        <v>1103</v>
      </c>
      <c r="E2">
        <v>1944</v>
      </c>
    </row>
    <row r="3" spans="1:5" ht="24" customHeight="1" x14ac:dyDescent="0.3">
      <c r="A3" s="3" t="s">
        <v>552</v>
      </c>
      <c r="B3">
        <v>1590</v>
      </c>
      <c r="C3">
        <v>1356</v>
      </c>
      <c r="D3">
        <v>748</v>
      </c>
      <c r="E3">
        <v>1566</v>
      </c>
    </row>
    <row r="4" spans="1:5" ht="24.6" customHeight="1" x14ac:dyDescent="0.3">
      <c r="A4" s="3" t="s">
        <v>553</v>
      </c>
      <c r="B4">
        <v>1804</v>
      </c>
      <c r="C4">
        <v>1715</v>
      </c>
      <c r="D4">
        <v>1342</v>
      </c>
      <c r="E4">
        <v>1821</v>
      </c>
    </row>
    <row r="5" spans="1:5" ht="24.6" customHeight="1" x14ac:dyDescent="0.3">
      <c r="A5" s="14" t="s">
        <v>554</v>
      </c>
      <c r="B5">
        <v>5195</v>
      </c>
      <c r="C5">
        <v>4752</v>
      </c>
      <c r="D5">
        <v>3161</v>
      </c>
      <c r="E5">
        <f>SUM(E2:E4)</f>
        <v>5331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6A6DD-DE53-4457-9F2B-601D3F037FA6}">
  <dimension ref="A1:E5"/>
  <sheetViews>
    <sheetView tabSelected="1" zoomScale="145" zoomScaleNormal="145" workbookViewId="0">
      <selection activeCell="H3" sqref="H3"/>
    </sheetView>
  </sheetViews>
  <sheetFormatPr defaultRowHeight="13.5" x14ac:dyDescent="0.3"/>
  <cols>
    <col min="2" max="2" width="15.46484375" customWidth="1"/>
    <col min="3" max="3" width="17.86328125" customWidth="1"/>
    <col min="4" max="4" width="17.33203125" customWidth="1"/>
    <col min="5" max="5" width="21.33203125" customWidth="1"/>
  </cols>
  <sheetData>
    <row r="1" spans="1:5" x14ac:dyDescent="0.3">
      <c r="A1" s="3" t="s">
        <v>555</v>
      </c>
      <c r="B1" s="3" t="s">
        <v>539</v>
      </c>
      <c r="C1" s="3" t="s">
        <v>540</v>
      </c>
      <c r="D1" s="3" t="s">
        <v>541</v>
      </c>
      <c r="E1" s="3" t="s">
        <v>550</v>
      </c>
    </row>
    <row r="2" spans="1:5" ht="28.25" customHeight="1" x14ac:dyDescent="0.3">
      <c r="A2" s="3" t="s">
        <v>551</v>
      </c>
      <c r="B2">
        <v>3.4634615384615386</v>
      </c>
      <c r="C2">
        <v>3.2326923076923078</v>
      </c>
      <c r="D2">
        <v>2.1211538461538462</v>
      </c>
      <c r="E2">
        <v>3.7384615384615385</v>
      </c>
    </row>
    <row r="3" spans="1:5" ht="21.6" customHeight="1" x14ac:dyDescent="0.3">
      <c r="A3" s="3" t="s">
        <v>552</v>
      </c>
      <c r="B3">
        <v>3.0576923076923075</v>
      </c>
      <c r="C3">
        <v>2.6076923076923078</v>
      </c>
      <c r="D3">
        <v>1.4384615384615385</v>
      </c>
      <c r="E3">
        <v>3.0115384615384615</v>
      </c>
    </row>
    <row r="4" spans="1:5" ht="21.6" customHeight="1" x14ac:dyDescent="0.3">
      <c r="A4" s="3" t="s">
        <v>553</v>
      </c>
      <c r="B4">
        <v>3.4692307692307693</v>
      </c>
      <c r="C4">
        <v>3.2980769230769229</v>
      </c>
      <c r="D4">
        <v>2.5807692307692309</v>
      </c>
      <c r="E4">
        <v>3.3301282051282062</v>
      </c>
    </row>
    <row r="5" spans="1:5" ht="24" customHeight="1" x14ac:dyDescent="0.3">
      <c r="A5" s="14" t="s">
        <v>556</v>
      </c>
      <c r="B5">
        <v>3.3301282051282053</v>
      </c>
      <c r="C5">
        <v>3.046153846153846</v>
      </c>
      <c r="D5">
        <v>2.0467948717948716</v>
      </c>
      <c r="E5">
        <v>3.4173076923076886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总分</vt:lpstr>
      <vt:lpstr>平均分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feiyu lai</cp:lastModifiedBy>
  <dcterms:created xsi:type="dcterms:W3CDTF">2025-12-26T09:05:53Z</dcterms:created>
  <dcterms:modified xsi:type="dcterms:W3CDTF">2026-09-23T07:21:20Z</dcterms:modified>
</cp:coreProperties>
</file>